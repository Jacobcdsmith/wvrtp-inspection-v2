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Registry" sheetId="1" state="visible" r:id="rId3"/>
    <sheet name="Inspection Log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<sst xmlns="http://schemas.openxmlformats.org/spreadsheetml/2006/main" count="162" uniqueCount="118">
  <si>
    <t xml:space="preserve">Equipment ID</t>
  </si>
  <si>
    <t xml:space="preserve">Equipment Name</t>
  </si>
  <si>
    <t xml:space="preserve">Building / Location</t>
  </si>
  <si>
    <t xml:space="preserve">Type</t>
  </si>
  <si>
    <t xml:space="preserve">Manufacturer</t>
  </si>
  <si>
    <t xml:space="preserve">Model / Serial</t>
  </si>
  <si>
    <t xml:space="preserve">Install Date</t>
  </si>
  <si>
    <t xml:space="preserve">MAWP (PSI)</t>
  </si>
  <si>
    <t xml:space="preserve">Inspection Freq.</t>
  </si>
  <si>
    <t xml:space="preserve">Status</t>
  </si>
  <si>
    <t xml:space="preserve">QR Code URL</t>
  </si>
  <si>
    <t xml:space="preserve">QR Code</t>
  </si>
  <si>
    <t xml:space="preserve">BLR-001</t>
  </si>
  <si>
    <t xml:space="preserve">Building 740 Main Boiler</t>
  </si>
  <si>
    <t xml:space="preserve">Building 740, Floor 1</t>
  </si>
  <si>
    <t xml:space="preserve">Boiler</t>
  </si>
  <si>
    <t xml:space="preserve">Cleaver-Brooks</t>
  </si>
  <si>
    <t xml:space="preserve">CB-700 / SN-44821</t>
  </si>
  <si>
    <t xml:space="preserve">2018-03-15</t>
  </si>
  <si>
    <t xml:space="preserve">150</t>
  </si>
  <si>
    <t xml:space="preserve">Monthly</t>
  </si>
  <si>
    <t xml:space="preserve">Active</t>
  </si>
  <si>
    <t xml:space="preserve">https://your-app-url.vercel.app/?id=BLR-001</t>
  </si>
  <si>
    <t xml:space="preserve">BLR-002</t>
  </si>
  <si>
    <t xml:space="preserve">Building 754 Backup Boiler</t>
  </si>
  <si>
    <t xml:space="preserve">Building 754, Basement</t>
  </si>
  <si>
    <t xml:space="preserve">Weil-McLain</t>
  </si>
  <si>
    <t xml:space="preserve">WM-88 / SN-29103</t>
  </si>
  <si>
    <t xml:space="preserve">2020-07-22</t>
  </si>
  <si>
    <t xml:space="preserve">125</t>
  </si>
  <si>
    <t xml:space="preserve">https://your-app-url.vercel.app/?id=BLR-002</t>
  </si>
  <si>
    <t xml:space="preserve">HVAC-001</t>
  </si>
  <si>
    <t xml:space="preserve">Building 740 Main AHU</t>
  </si>
  <si>
    <t xml:space="preserve">Building 740, Roof</t>
  </si>
  <si>
    <t xml:space="preserve">HVAC</t>
  </si>
  <si>
    <t xml:space="preserve">Trane</t>
  </si>
  <si>
    <t xml:space="preserve">XR-15 / SN-88421</t>
  </si>
  <si>
    <t xml:space="preserve">2019-11-10</t>
  </si>
  <si>
    <t xml:space="preserve">Quarterly</t>
  </si>
  <si>
    <t xml:space="preserve">https://your-app-url.vercel.app/?id=HVAC-001</t>
  </si>
  <si>
    <t xml:space="preserve">PV-001</t>
  </si>
  <si>
    <t xml:space="preserve">Lab A Pressure Vessel</t>
  </si>
  <si>
    <t xml:space="preserve">Building 740, Lab A</t>
  </si>
  <si>
    <t xml:space="preserve">Pressure Vessel</t>
  </si>
  <si>
    <t xml:space="preserve">ASME Certified</t>
  </si>
  <si>
    <t xml:space="preserve">PV-200 / SN-11092</t>
  </si>
  <si>
    <t xml:space="preserve">2017-06-01</t>
  </si>
  <si>
    <t xml:space="preserve">200</t>
  </si>
  <si>
    <t xml:space="preserve">Annual</t>
  </si>
  <si>
    <t xml:space="preserve">https://your-app-url.vercel.app/?id=PV-001</t>
  </si>
  <si>
    <t xml:space="preserve">FS-001</t>
  </si>
  <si>
    <t xml:space="preserve">Building 754 Fire Ext. Station</t>
  </si>
  <si>
    <t xml:space="preserve">Building 754, Hallway B</t>
  </si>
  <si>
    <t xml:space="preserve">Fire Suppression</t>
  </si>
  <si>
    <t xml:space="preserve">Kidde</t>
  </si>
  <si>
    <t xml:space="preserve">Pro-210 / SN-55312</t>
  </si>
  <si>
    <t xml:space="preserve">2021-01-15</t>
  </si>
  <si>
    <t xml:space="preserve">195</t>
  </si>
  <si>
    <t xml:space="preserve">https://your-app-url.vercel.app/?id=FS-001</t>
  </si>
  <si>
    <t xml:space="preserve">Notes:</t>
  </si>
  <si>
    <t xml:space="preserve">• Replace BASE_URL in the QR Code URL column with your deployed inspection form URL</t>
  </si>
  <si>
    <t xml:space="preserve">• QR Code column uses Excel IMAGE formula — requires Excel 365 or Excel Online</t>
  </si>
  <si>
    <t xml:space="preserve">• To add equipment: insert a new row in the table and fill in details. QR code generates automatically.</t>
  </si>
  <si>
    <t xml:space="preserve">• To decommission: set Status to 'Decommissioned'. Do not delete the row — historical data is preserved.</t>
  </si>
  <si>
    <t xml:space="preserve">Timestamp</t>
  </si>
  <si>
    <t xml:space="preserve">Inspector Name</t>
  </si>
  <si>
    <t xml:space="preserve">Overall Result</t>
  </si>
  <si>
    <t xml:space="preserve">Pressure (PSI)</t>
  </si>
  <si>
    <t xml:space="preserve">Temperature (°F)</t>
  </si>
  <si>
    <t xml:space="preserve">Water Level</t>
  </si>
  <si>
    <t xml:space="preserve">Safety Valve</t>
  </si>
  <si>
    <t xml:space="preserve">Controls Check</t>
  </si>
  <si>
    <t xml:space="preserve">Exterior Condition</t>
  </si>
  <si>
    <t xml:space="preserve">Latitude</t>
  </si>
  <si>
    <t xml:space="preserve">Longitude</t>
  </si>
  <si>
    <t xml:space="preserve">Address</t>
  </si>
  <si>
    <t xml:space="preserve">Notes</t>
  </si>
  <si>
    <t xml:space="preserve">Photo URL</t>
  </si>
  <si>
    <t xml:space="preserve">2026-03-20 09:15</t>
  </si>
  <si>
    <t xml:space="preserve">J. Smith</t>
  </si>
  <si>
    <t xml:space="preserve">Pass</t>
  </si>
  <si>
    <t xml:space="preserve">142</t>
  </si>
  <si>
    <t xml:space="preserve">185</t>
  </si>
  <si>
    <t xml:space="preserve">Normal</t>
  </si>
  <si>
    <t xml:space="preserve">38.3498</t>
  </si>
  <si>
    <t xml:space="preserve">-81.6927</t>
  </si>
  <si>
    <t xml:space="preserve">1740 Union Carbide Dr, South Charleston, WV</t>
  </si>
  <si>
    <t xml:space="preserve">All systems normal</t>
  </si>
  <si>
    <t xml:space="preserve">2026-03-20 09:45</t>
  </si>
  <si>
    <t xml:space="preserve">Attention</t>
  </si>
  <si>
    <t xml:space="preserve">72</t>
  </si>
  <si>
    <t xml:space="preserve">Fail</t>
  </si>
  <si>
    <t xml:space="preserve">38.3501</t>
  </si>
  <si>
    <t xml:space="preserve">-81.6930</t>
  </si>
  <si>
    <t xml:space="preserve">Exterior panel dented, needs repair</t>
  </si>
  <si>
    <t xml:space="preserve">2026-03-20 10:30</t>
  </si>
  <si>
    <t xml:space="preserve">M. Johnson</t>
  </si>
  <si>
    <t xml:space="preserve">38.3499</t>
  </si>
  <si>
    <t xml:space="preserve">-81.6925</t>
  </si>
  <si>
    <t xml:space="preserve">2026-03-21 08:00</t>
  </si>
  <si>
    <t xml:space="preserve">160</t>
  </si>
  <si>
    <t xml:space="preserve">210</t>
  </si>
  <si>
    <t xml:space="preserve">Low</t>
  </si>
  <si>
    <t xml:space="preserve">38.3502</t>
  </si>
  <si>
    <t xml:space="preserve">-81.6931</t>
  </si>
  <si>
    <t xml:space="preserve">Safety valve failed test — IMMEDIATE ATTENTION</t>
  </si>
  <si>
    <t xml:space="preserve">• This sheet is populated automatically by Power Automate when inspections are submitted via the web form.</t>
  </si>
  <si>
    <t xml:space="preserve">• Checklist columns may vary by equipment type. Type-specific fields left blank for non-applicable types.</t>
  </si>
  <si>
    <t xml:space="preserve">• Sample data generated 2026-03-24. Replace with real inspections.</t>
  </si>
  <si>
    <t xml:space="preserve">WVRTP Inspection Dashboard</t>
  </si>
  <si>
    <t xml:space="preserve">Total Inspections</t>
  </si>
  <si>
    <t xml:space="preserve">Pass Rate</t>
  </si>
  <si>
    <t xml:space="preserve">Open Failures</t>
  </si>
  <si>
    <t xml:space="preserve">Attention Items</t>
  </si>
  <si>
    <t xml:space="preserve">Inspections by Type</t>
  </si>
  <si>
    <t xml:space="preserve">Count</t>
  </si>
  <si>
    <t xml:space="preserve">Dashboard formulas reference the Inspection Log table. Data updates automatically as new inspections are added.</t>
  </si>
  <si>
    <t xml:space="preserve">Template generated 2026-03-24 by Readyfuels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</si>
</sst>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F2E2E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2F2E2E"/>
      <name val="Calibri"/>
      <family val="0"/>
      <charset val="1"/>
    </font>
    <font>
      <sz val="9"/>
      <color rgb="FF808080"/>
      <name val="Calibri"/>
      <family val="0"/>
      <charset val="1"/>
    </font>
    <font>
      <b val="true"/>
      <sz val="10"/>
      <color rgb="FFEA8933"/>
      <name val="Calibri"/>
      <family val="0"/>
      <charset val="1"/>
    </font>
    <font>
      <b val="true"/>
      <sz val="10"/>
      <color rgb="FFC62828"/>
      <name val="Calibri"/>
      <family val="0"/>
      <charset val="1"/>
    </font>
    <font>
      <b val="true"/>
      <sz val="16"/>
      <color rgb="FF1B4A6E"/>
      <name val="Calibri"/>
      <family val="0"/>
      <charset val="1"/>
    </font>
    <font>
      <b val="true"/>
      <sz val="24"/>
      <color rgb="FF1B4A6E"/>
      <name val="Calibri"/>
      <family val="0"/>
      <charset val="1"/>
    </font>
    <font>
      <b val="true"/>
      <sz val="12"/>
      <color rgb="FF1B4A6E"/>
      <name val="Calibri"/>
      <family val="0"/>
      <charset val="1"/>
    </font>
    <font>
      <i val="true"/>
      <sz val="9"/>
      <color rgb="FF80808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A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4A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F2E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A89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A8933"/>
      <rgbColor rgb="FFFF6600"/>
      <rgbColor rgb="FF4C738C"/>
      <rgbColor rgb="FF969696"/>
      <rgbColor rgb="FF1B4A6E"/>
      <rgbColor rgb="FF2E7D32"/>
      <rgbColor rgb="FF003300"/>
      <rgbColor rgb="FF333300"/>
      <rgbColor rgb="FFC62828"/>
      <rgbColor rgb="FF993366"/>
      <rgbColor rgb="FF333399"/>
      <rgbColor rgb="FF2F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quipmentRegistry" displayName="EquipmentRegistry" ref="A1:L6" headerRowCount="1" totalsRowCount="0" totalsRowShown="0">
  <autoFilter ref="A1:L6"/>
  <tableColumns count="12">
    <tableColumn id="1" name="Equipment ID"/>
    <tableColumn id="2" name="Equipment Name"/>
    <tableColumn id="3" name="Building / Location"/>
    <tableColumn id="4" name="Type"/>
    <tableColumn id="5" name="Manufacturer"/>
    <tableColumn id="6" name="Model / Serial"/>
    <tableColumn id="7" name="Install Date"/>
    <tableColumn id="8" name="MAWP (PSI)"/>
    <tableColumn id="9" name="Inspection Freq."/>
    <tableColumn id="10" name="Status"/>
    <tableColumn id="11" name="QR Code URL"/>
    <tableColumn id="12" name="QR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spectionLog" displayName="InspectionLog" ref="A1:P5" headerRowCount="1" totalsRowCount="0" totalsRowShown="0">
  <autoFilter ref="A1:P5"/>
  <tableColumns count="16">
    <tableColumn id="1" name="Timestamp"/>
    <tableColumn id="2" name="Equipment ID"/>
    <tableColumn id="3" name="Type"/>
    <tableColumn id="4" name="Inspector Name"/>
    <tableColumn id="5" name="Overall Result"/>
    <tableColumn id="6" name="Pressure (PSI)"/>
    <tableColumn id="7" name="Temperature (°F)"/>
    <tableColumn id="8" name="Water Level"/>
    <tableColumn id="9" name="Safety Valve"/>
    <tableColumn id="10" name="Controls Check"/>
    <tableColumn id="11" name="Exterior Condition"/>
    <tableColumn id="12" name="Latitude"/>
    <tableColumn id="13" name="Longitude"/>
    <tableColumn id="14" name="Address"/>
    <tableColumn id="15" name="Notes"/>
    <tableColumn id="16" name="Photo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A6E"/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79.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 t="s">
        <v>22</v>
      </c>
      <c r="L2" s="2" t="e">
        <f aca="false">image("https://api.qrserver.com/v1/create-qr-code/?size=150x150&amp;data="&amp;K2)</f>
        <v>#NAME?</v>
      </c>
    </row>
    <row r="3" customFormat="false" ht="79.5" hidden="false" customHeight="true" outlineLevel="0" collapsed="false">
      <c r="A3" s="2" t="s">
        <v>23</v>
      </c>
      <c r="B3" s="2" t="s">
        <v>24</v>
      </c>
      <c r="C3" s="2" t="s">
        <v>25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3" t="s">
        <v>21</v>
      </c>
      <c r="K3" s="2" t="s">
        <v>30</v>
      </c>
      <c r="L3" s="2" t="e">
        <f aca="false">image("https://api.qrserver.com/v1/create-qr-code/?size=150x150&amp;data="&amp;K3)</f>
        <v>#NAME?</v>
      </c>
    </row>
    <row r="4" customFormat="false" ht="79.5" hidden="false" customHeight="tru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/>
      <c r="I4" s="2" t="s">
        <v>38</v>
      </c>
      <c r="J4" s="3" t="s">
        <v>21</v>
      </c>
      <c r="K4" s="2" t="s">
        <v>39</v>
      </c>
      <c r="L4" s="2" t="e">
        <f aca="false">image("https://api.qrserver.com/v1/create-qr-code/?size=150x150&amp;data="&amp;K4)</f>
        <v>#NAME?</v>
      </c>
    </row>
    <row r="5" customFormat="false" ht="79.5" hidden="false" customHeight="tru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3" t="s">
        <v>21</v>
      </c>
      <c r="K5" s="2" t="s">
        <v>49</v>
      </c>
      <c r="L5" s="2" t="e">
        <f aca="false">image("https://api.qrserver.com/v1/create-qr-code/?size=150x150&amp;data="&amp;K5)</f>
        <v>#NAME?</v>
      </c>
    </row>
    <row r="6" customFormat="false" ht="79.5" hidden="false" customHeight="tru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20</v>
      </c>
      <c r="J6" s="3" t="s">
        <v>21</v>
      </c>
      <c r="K6" s="2" t="s">
        <v>58</v>
      </c>
      <c r="L6" s="2" t="e">
        <f aca="false">image("https://api.qrserver.com/v1/create-qr-code/?size=150x150&amp;data="&amp;K6)</f>
        <v>#NAME?</v>
      </c>
    </row>
    <row r="8" customFormat="false" ht="15" hidden="false" customHeight="false" outlineLevel="0" collapsed="false">
      <c r="A8" s="4" t="s">
        <v>59</v>
      </c>
    </row>
    <row r="9" customFormat="false" ht="15" hidden="false" customHeight="false" outlineLevel="0" collapsed="false">
      <c r="A9" s="5" t="s">
        <v>60</v>
      </c>
    </row>
    <row r="10" customFormat="false" ht="15" hidden="false" customHeight="false" outlineLevel="0" collapsed="false">
      <c r="A10" s="5" t="s">
        <v>61</v>
      </c>
    </row>
    <row r="11" customFormat="false" ht="15" hidden="false" customHeight="false" outlineLevel="0" collapsed="false">
      <c r="A11" s="5" t="s">
        <v>62</v>
      </c>
    </row>
    <row r="12" customFormat="false" ht="15" hidden="false" customHeight="false" outlineLevel="0" collapsed="false">
      <c r="A12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8933"/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6" min="14" style="0" width="30"/>
  </cols>
  <sheetData>
    <row r="1" customFormat="false" ht="30" hidden="false" customHeight="true" outlineLevel="0" collapsed="false">
      <c r="A1" s="1" t="s">
        <v>64</v>
      </c>
      <c r="B1" s="1" t="s">
        <v>0</v>
      </c>
      <c r="C1" s="1" t="s">
        <v>3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</row>
    <row r="2" customFormat="false" ht="15" hidden="false" customHeight="false" outlineLevel="0" collapsed="false">
      <c r="A2" s="2" t="s">
        <v>78</v>
      </c>
      <c r="B2" s="2" t="s">
        <v>12</v>
      </c>
      <c r="C2" s="2" t="s">
        <v>15</v>
      </c>
      <c r="D2" s="2" t="s">
        <v>79</v>
      </c>
      <c r="E2" s="3" t="s">
        <v>80</v>
      </c>
      <c r="F2" s="2" t="s">
        <v>81</v>
      </c>
      <c r="G2" s="2" t="s">
        <v>82</v>
      </c>
      <c r="H2" s="2" t="s">
        <v>83</v>
      </c>
      <c r="I2" s="2" t="s">
        <v>80</v>
      </c>
      <c r="J2" s="2" t="s">
        <v>80</v>
      </c>
      <c r="K2" s="2" t="s">
        <v>80</v>
      </c>
      <c r="L2" s="2" t="s">
        <v>84</v>
      </c>
      <c r="M2" s="2" t="s">
        <v>85</v>
      </c>
      <c r="N2" s="2" t="s">
        <v>86</v>
      </c>
      <c r="O2" s="2" t="s">
        <v>87</v>
      </c>
      <c r="P2" s="2"/>
    </row>
    <row r="3" customFormat="false" ht="15" hidden="false" customHeight="false" outlineLevel="0" collapsed="false">
      <c r="A3" s="2" t="s">
        <v>88</v>
      </c>
      <c r="B3" s="2" t="s">
        <v>31</v>
      </c>
      <c r="C3" s="2" t="s">
        <v>34</v>
      </c>
      <c r="D3" s="2" t="s">
        <v>79</v>
      </c>
      <c r="E3" s="6" t="s">
        <v>89</v>
      </c>
      <c r="F3" s="2"/>
      <c r="G3" s="2" t="s">
        <v>90</v>
      </c>
      <c r="H3" s="2"/>
      <c r="I3" s="2"/>
      <c r="J3" s="2" t="s">
        <v>80</v>
      </c>
      <c r="K3" s="2" t="s">
        <v>91</v>
      </c>
      <c r="L3" s="2" t="s">
        <v>92</v>
      </c>
      <c r="M3" s="2" t="s">
        <v>93</v>
      </c>
      <c r="N3" s="2" t="s">
        <v>86</v>
      </c>
      <c r="O3" s="2" t="s">
        <v>94</v>
      </c>
      <c r="P3" s="2"/>
    </row>
    <row r="4" customFormat="false" ht="15" hidden="false" customHeight="false" outlineLevel="0" collapsed="false">
      <c r="A4" s="2" t="s">
        <v>95</v>
      </c>
      <c r="B4" s="2" t="s">
        <v>40</v>
      </c>
      <c r="C4" s="2" t="s">
        <v>43</v>
      </c>
      <c r="D4" s="2" t="s">
        <v>96</v>
      </c>
      <c r="E4" s="3" t="s">
        <v>80</v>
      </c>
      <c r="F4" s="2" t="s">
        <v>57</v>
      </c>
      <c r="G4" s="2"/>
      <c r="H4" s="2"/>
      <c r="I4" s="2" t="s">
        <v>80</v>
      </c>
      <c r="J4" s="2" t="s">
        <v>80</v>
      </c>
      <c r="K4" s="2" t="s">
        <v>80</v>
      </c>
      <c r="L4" s="2" t="s">
        <v>97</v>
      </c>
      <c r="M4" s="2" t="s">
        <v>98</v>
      </c>
      <c r="N4" s="2" t="s">
        <v>86</v>
      </c>
      <c r="O4" s="2"/>
      <c r="P4" s="2"/>
    </row>
    <row r="5" customFormat="false" ht="15" hidden="false" customHeight="false" outlineLevel="0" collapsed="false">
      <c r="A5" s="2" t="s">
        <v>99</v>
      </c>
      <c r="B5" s="2" t="s">
        <v>23</v>
      </c>
      <c r="C5" s="2" t="s">
        <v>15</v>
      </c>
      <c r="D5" s="2" t="s">
        <v>79</v>
      </c>
      <c r="E5" s="7" t="s">
        <v>91</v>
      </c>
      <c r="F5" s="2" t="s">
        <v>100</v>
      </c>
      <c r="G5" s="2" t="s">
        <v>101</v>
      </c>
      <c r="H5" s="2" t="s">
        <v>102</v>
      </c>
      <c r="I5" s="2" t="s">
        <v>91</v>
      </c>
      <c r="J5" s="2" t="s">
        <v>80</v>
      </c>
      <c r="K5" s="2" t="s">
        <v>80</v>
      </c>
      <c r="L5" s="2" t="s">
        <v>103</v>
      </c>
      <c r="M5" s="2" t="s">
        <v>104</v>
      </c>
      <c r="N5" s="2" t="s">
        <v>86</v>
      </c>
      <c r="O5" s="2" t="s">
        <v>105</v>
      </c>
      <c r="P5" s="2"/>
    </row>
    <row r="7" customFormat="false" ht="15" hidden="false" customHeight="false" outlineLevel="0" collapsed="false">
      <c r="A7" s="4" t="s">
        <v>59</v>
      </c>
    </row>
    <row r="8" customFormat="false" ht="15" hidden="false" customHeight="false" outlineLevel="0" collapsed="false">
      <c r="A8" s="5" t="s">
        <v>106</v>
      </c>
    </row>
    <row r="9" customFormat="false" ht="15" hidden="false" customHeight="false" outlineLevel="0" collapsed="false">
      <c r="A9" s="5" t="s">
        <v>107</v>
      </c>
    </row>
    <row r="10" customFormat="false" ht="15" hidden="false" customHeight="false" outlineLevel="0" collapsed="false">
      <c r="A10" s="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738C"/>
    <pageSetUpPr fitToPage="false"/>
  </sheetPr>
  <dimension ref="B2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2" customFormat="false" ht="30" hidden="false" customHeight="true" outlineLevel="0" collapsed="false">
      <c r="B2" s="8" t="s">
        <v>109</v>
      </c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B4" s="9" t="s">
        <v>110</v>
      </c>
      <c r="D4" s="9" t="s">
        <v>111</v>
      </c>
      <c r="F4" s="9" t="s">
        <v>112</v>
      </c>
      <c r="H4" s="9" t="s">
        <v>113</v>
      </c>
    </row>
    <row r="5" customFormat="false" ht="29.15" hidden="false" customHeight="false" outlineLevel="0" collapsed="false">
      <c r="B5" s="10" t="n">
        <f aca="false">COUNTA(InspectionLog[Equipment ID])</f>
        <v>4</v>
      </c>
      <c r="D5" s="11" t="n">
        <f aca="false">COUNTIF(InspectionLog[Overall Result],"Pass")/COUNTA(InspectionLog[Overall Result])</f>
        <v>0.5</v>
      </c>
      <c r="F5" s="10" t="n">
        <f aca="false">COUNTIF(InspectionLog[Overall Result],"Fail")</f>
        <v>1</v>
      </c>
      <c r="H5" s="10" t="n">
        <f aca="false">COUNTIF(InspectionLog[Overall Result],"Attention")</f>
        <v>1</v>
      </c>
    </row>
    <row r="7" customFormat="false" ht="15" hidden="false" customHeight="false" outlineLevel="0" collapsed="false">
      <c r="B7" s="12" t="s">
        <v>114</v>
      </c>
    </row>
    <row r="8" customFormat="false" ht="15" hidden="false" customHeight="false" outlineLevel="0" collapsed="false">
      <c r="B8" s="1" t="s">
        <v>3</v>
      </c>
      <c r="C8" s="1" t="s">
        <v>115</v>
      </c>
      <c r="D8" s="1" t="s">
        <v>80</v>
      </c>
      <c r="E8" s="1" t="s">
        <v>91</v>
      </c>
      <c r="F8" s="1" t="s">
        <v>89</v>
      </c>
    </row>
    <row r="9" customFormat="false" ht="15" hidden="false" customHeight="false" outlineLevel="0" collapsed="false">
      <c r="B9" s="4" t="s">
        <v>15</v>
      </c>
      <c r="C9" s="2" t="n">
        <f aca="false">COUNTIF(InspectionLog[Type],B9)</f>
        <v>2</v>
      </c>
      <c r="D9" s="2" t="n">
        <f aca="false">COUNTIFS(InspectionLog[Type],B9,InspectionLog[Overall Result],"Pass")</f>
        <v>1</v>
      </c>
      <c r="E9" s="2" t="n">
        <f aca="false">COUNTIFS(InspectionLog[Type],B9,InspectionLog[Overall Result],"Fail")</f>
        <v>1</v>
      </c>
      <c r="F9" s="2" t="n">
        <f aca="false">COUNTIFS(InspectionLog[Type],B9,InspectionLog[Overall Result],"Attention")</f>
        <v>0</v>
      </c>
    </row>
    <row r="10" customFormat="false" ht="15" hidden="false" customHeight="false" outlineLevel="0" collapsed="false">
      <c r="B10" s="4" t="s">
        <v>34</v>
      </c>
      <c r="C10" s="2" t="n">
        <f aca="false">COUNTIF(InspectionLog[Type],B10)</f>
        <v>1</v>
      </c>
      <c r="D10" s="2" t="n">
        <f aca="false">COUNTIFS(InspectionLog[Type],B10,InspectionLog[Overall Result],"Pass")</f>
        <v>0</v>
      </c>
      <c r="E10" s="2" t="n">
        <f aca="false">COUNTIFS(InspectionLog[Type],B10,InspectionLog[Overall Result],"Fail")</f>
        <v>0</v>
      </c>
      <c r="F10" s="2" t="n">
        <f aca="false">COUNTIFS(InspectionLog[Type],B10,InspectionLog[Overall Result],"Attention")</f>
        <v>1</v>
      </c>
    </row>
    <row r="11" customFormat="false" ht="15" hidden="false" customHeight="false" outlineLevel="0" collapsed="false">
      <c r="B11" s="4" t="s">
        <v>43</v>
      </c>
      <c r="C11" s="2" t="n">
        <f aca="false">COUNTIF(InspectionLog[Type],B11)</f>
        <v>1</v>
      </c>
      <c r="D11" s="2" t="n">
        <f aca="false">COUNTIFS(InspectionLog[Type],B11,InspectionLog[Overall Result],"Pass")</f>
        <v>1</v>
      </c>
      <c r="E11" s="2" t="n">
        <f aca="false">COUNTIFS(InspectionLog[Type],B11,InspectionLog[Overall Result],"Fail")</f>
        <v>0</v>
      </c>
      <c r="F11" s="2" t="n">
        <f aca="false">COUNTIFS(InspectionLog[Type],B11,InspectionLog[Overall Result],"Attention")</f>
        <v>0</v>
      </c>
    </row>
    <row r="12" customFormat="false" ht="15" hidden="false" customHeight="false" outlineLevel="0" collapsed="false">
      <c r="B12" s="4" t="s">
        <v>53</v>
      </c>
      <c r="C12" s="2" t="n">
        <f aca="false">COUNTIF(InspectionLog[Type],B12)</f>
        <v>0</v>
      </c>
      <c r="D12" s="2" t="n">
        <f aca="false">COUNTIFS(InspectionLog[Type],B12,InspectionLog[Overall Result],"Pass")</f>
        <v>0</v>
      </c>
      <c r="E12" s="2" t="n">
        <f aca="false">COUNTIFS(InspectionLog[Type],B12,InspectionLog[Overall Result],"Fail")</f>
        <v>0</v>
      </c>
      <c r="F12" s="2" t="n">
        <f aca="false">COUNTIFS(InspectionLog[Type],B12,InspectionLog[Overall Result],"Attention")</f>
        <v>0</v>
      </c>
    </row>
    <row r="15" customFormat="false" ht="15" hidden="false" customHeight="false" outlineLevel="0" collapsed="false">
      <c r="B15" s="13" t="s">
        <v>116</v>
      </c>
    </row>
    <row r="16" customFormat="false" ht="15" hidden="false" customHeight="false" outlineLevel="0" collapsed="false">
      <c r="B16" s="13" t="s">
        <v>117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2026-03-24T21:04:05Z</dcterms:created>
  <dc:creator>openpyxl</dc:creator>
  <dc:description/>
  <dc:language>en-US</dc:language>
  <cp:lastModifiedBy/>
  <dcterms:modified xsi:type="dcterms:W3CDTF">2026-03-24T21:04:05Z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