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Equipment Registry" sheetId="2" r:id="rId5"/>
    <sheet state="visible" name="Inspection Log" sheetId="3" r:id="rId6"/>
    <sheet state="visible" name="Boiler Water Chemistry" sheetId="4" r:id="rId7"/>
    <sheet state="visible" name="Boiler Daily Ops" sheetId="5" r:id="rId8"/>
    <sheet state="visible" name="704 Daily Log" sheetId="6" r:id="rId9"/>
    <sheet state="visible" name="Substation Weekly" sheetId="7" r:id="rId10"/>
    <sheet state="visible" name="Substation Oil Check" sheetId="8" r:id="rId11"/>
    <sheet state="visible" name="Ops Weekly Checklist" sheetId="9" r:id="rId12"/>
    <sheet state="visible" name="Inspection Schedule" sheetId="10" r:id="rId13"/>
    <sheet state="visible" name="740 Feeders Ref" sheetId="11" r:id="rId14"/>
    <sheet state="visible" name="Event Log" sheetId="12" r:id="rId15"/>
    <sheet state="visible" name="Transcription Notes" sheetId="13" r:id="rId16"/>
    <sheet state="visible" name="Revision History" sheetId="14" r:id="rId17"/>
  </sheets>
  <definedNames/>
  <calcPr/>
  <extLst>
    <ext uri="GoogleSheetsCustomDataVersion2">
      <go:sheetsCustomData xmlns:go="http://customooxmlschemas.google.com/" r:id="rId18" roundtripDataChecksum="aledXdJHajbmdk2jqT5S5Ys1KNuil7ei3QmfBHqmmDk="/>
    </ext>
  </extLst>
</workbook>
</file>

<file path=xl/sharedStrings.xml><?xml version="1.0" encoding="utf-8"?>
<sst xmlns="http://schemas.openxmlformats.org/spreadsheetml/2006/main" count="714" uniqueCount="410">
  <si>
    <t>WVRTP Master Inspection Workbook</t>
  </si>
  <si>
    <t>Equipment Inspection Management Dashboard</t>
  </si>
  <si>
    <t>KEY METRICS</t>
  </si>
  <si>
    <t>Total Equipment</t>
  </si>
  <si>
    <t>Active Equipment</t>
  </si>
  <si>
    <t>Total Inspections</t>
  </si>
  <si>
    <t>Pass Rate</t>
  </si>
  <si>
    <t>Overdue Inspections</t>
  </si>
  <si>
    <t>Oil Leaks Reported</t>
  </si>
  <si>
    <t>Boiler Alerts</t>
  </si>
  <si>
    <t>Open Events</t>
  </si>
  <si>
    <t>INSPECTIONS BY EQUIPMENT TYPE</t>
  </si>
  <si>
    <t>Equipment Type</t>
  </si>
  <si>
    <t>Count</t>
  </si>
  <si>
    <t>Pass</t>
  </si>
  <si>
    <t>Fail</t>
  </si>
  <si>
    <t>Boiler</t>
  </si>
  <si>
    <t>HVAC</t>
  </si>
  <si>
    <t>Substation</t>
  </si>
  <si>
    <t>Switchgear</t>
  </si>
  <si>
    <t>Transformer</t>
  </si>
  <si>
    <t>Chiller</t>
  </si>
  <si>
    <t>EQUIPMENT REGISTRY</t>
  </si>
  <si>
    <t>Equipment ID</t>
  </si>
  <si>
    <t>Name</t>
  </si>
  <si>
    <t>Type</t>
  </si>
  <si>
    <t>Location</t>
  </si>
  <si>
    <t>Building</t>
  </si>
  <si>
    <t>Voltage/Rating</t>
  </si>
  <si>
    <t>QR Code URL</t>
  </si>
  <si>
    <t>Status</t>
  </si>
  <si>
    <t>Last Inspection</t>
  </si>
  <si>
    <t>Next Due</t>
  </si>
  <si>
    <t>BOI-01</t>
  </si>
  <si>
    <t>Boiler #1</t>
  </si>
  <si>
    <t>Building 740</t>
  </si>
  <si>
    <t>740</t>
  </si>
  <si>
    <t>Steam</t>
  </si>
  <si>
    <t>Active</t>
  </si>
  <si>
    <t>BOI-02</t>
  </si>
  <si>
    <t>Boiler #2</t>
  </si>
  <si>
    <t>HVAC-01</t>
  </si>
  <si>
    <t>HVAC Unit 1</t>
  </si>
  <si>
    <t>Building 704</t>
  </si>
  <si>
    <t>704</t>
  </si>
  <si>
    <t>N/A</t>
  </si>
  <si>
    <t>HVAC-02</t>
  </si>
  <si>
    <t>HVAC Unit 2</t>
  </si>
  <si>
    <t>SUB-51</t>
  </si>
  <si>
    <t>Substation 51</t>
  </si>
  <si>
    <t>Campus</t>
  </si>
  <si>
    <t>Ext</t>
  </si>
  <si>
    <t>2.4KV / 480V</t>
  </si>
  <si>
    <t>SUB-52</t>
  </si>
  <si>
    <t>Substation 52</t>
  </si>
  <si>
    <t>SUB-53</t>
  </si>
  <si>
    <t>Substation 53</t>
  </si>
  <si>
    <t>480V</t>
  </si>
  <si>
    <t>SUB-55</t>
  </si>
  <si>
    <t>Substation 55</t>
  </si>
  <si>
    <t>SUB-56</t>
  </si>
  <si>
    <t>Substation 56</t>
  </si>
  <si>
    <t>SW-B727A</t>
  </si>
  <si>
    <t>740 West Feeder B727 A</t>
  </si>
  <si>
    <t>SW-B727N6</t>
  </si>
  <si>
    <t>740 West Feeder B727 N6</t>
  </si>
  <si>
    <t>SW-2.5B</t>
  </si>
  <si>
    <t>SW 2.5B MCC-3 Feeder</t>
  </si>
  <si>
    <t>440V</t>
  </si>
  <si>
    <t>XFMR-CIN</t>
  </si>
  <si>
    <t>Cinergy Transformer</t>
  </si>
  <si>
    <t>Along Driveway</t>
  </si>
  <si>
    <t>13.8KV to 480V</t>
  </si>
  <si>
    <t>XFMR-729</t>
  </si>
  <si>
    <t>Transformer 729</t>
  </si>
  <si>
    <t>Building 729</t>
  </si>
  <si>
    <t>729</t>
  </si>
  <si>
    <t>XFMR-740</t>
  </si>
  <si>
    <t>Transformer 740</t>
  </si>
  <si>
    <t>CHL-S</t>
  </si>
  <si>
    <t>South Chiller</t>
  </si>
  <si>
    <t>South Plant</t>
  </si>
  <si>
    <t>CHL-N</t>
  </si>
  <si>
    <t>North Chiller</t>
  </si>
  <si>
    <t>North Plant</t>
  </si>
  <si>
    <t>HVAC-770</t>
  </si>
  <si>
    <t>Sub 53 770 HVAC</t>
  </si>
  <si>
    <t>Building 770</t>
  </si>
  <si>
    <t>770</t>
  </si>
  <si>
    <t>ATC-2000</t>
  </si>
  <si>
    <t>2000 ATC</t>
  </si>
  <si>
    <t>ATC Building</t>
  </si>
  <si>
    <t>2000</t>
  </si>
  <si>
    <t>INSPECTION LOG</t>
  </si>
  <si>
    <t>Power Automate Webhook Target — Each row maps to one form submission</t>
  </si>
  <si>
    <t>Inspector</t>
  </si>
  <si>
    <t>Result</t>
  </si>
  <si>
    <t>Date</t>
  </si>
  <si>
    <t>Latitude</t>
  </si>
  <si>
    <t>Longitude</t>
  </si>
  <si>
    <t>Address</t>
  </si>
  <si>
    <t>Notes</t>
  </si>
  <si>
    <t>Photo</t>
  </si>
  <si>
    <t>T. Brown</t>
  </si>
  <si>
    <t>WVRTP Campus</t>
  </si>
  <si>
    <t>Routine daily check</t>
  </si>
  <si>
    <t>M. Johnson</t>
  </si>
  <si>
    <t>Oil levels normal</t>
  </si>
  <si>
    <t>Steam pressure low</t>
  </si>
  <si>
    <t>All readings normal</t>
  </si>
  <si>
    <t>Weekly check complete</t>
  </si>
  <si>
    <t>740 BOILERS DATA SHEET</t>
  </si>
  <si>
    <t>Tech Center Data Sheet</t>
  </si>
  <si>
    <t>Operator:</t>
  </si>
  <si>
    <t>Date:</t>
  </si>
  <si>
    <t>Parameter</t>
  </si>
  <si>
    <t>Acceptable Range</t>
  </si>
  <si>
    <t>Shift 1</t>
  </si>
  <si>
    <t>Shift 2</t>
  </si>
  <si>
    <t>Shift 3</t>
  </si>
  <si>
    <t>Status S1</t>
  </si>
  <si>
    <t>Status S2</t>
  </si>
  <si>
    <t>Status S3</t>
  </si>
  <si>
    <t>BOILER FEEDWATER</t>
  </si>
  <si>
    <t>pH</t>
  </si>
  <si>
    <t>8.5 - 9.5</t>
  </si>
  <si>
    <t>Conductivity</t>
  </si>
  <si>
    <t>Record</t>
  </si>
  <si>
    <t>Iron/Sulfite</t>
  </si>
  <si>
    <t>&lt; 0.1 ppm</t>
  </si>
  <si>
    <t>Hardness</t>
  </si>
  <si>
    <t>BOILER #1</t>
  </si>
  <si>
    <t>10.0 - 12.0</t>
  </si>
  <si>
    <t>3500 - 4000</t>
  </si>
  <si>
    <t>P-Alkalinity</t>
  </si>
  <si>
    <t>M-Alkalinity</t>
  </si>
  <si>
    <t>300 - 600 ppm</t>
  </si>
  <si>
    <t>Sulfite</t>
  </si>
  <si>
    <t>15 - 35 ppm</t>
  </si>
  <si>
    <t>BOILER #2</t>
  </si>
  <si>
    <t>CHEMICAL INVENTORY</t>
  </si>
  <si>
    <t>Chemical</t>
  </si>
  <si>
    <t>Frequency</t>
  </si>
  <si>
    <t>Current Level</t>
  </si>
  <si>
    <t>Reorder Point</t>
  </si>
  <si>
    <t>Optisperse</t>
  </si>
  <si>
    <t>Weekly</t>
  </si>
  <si>
    <t>Steamate</t>
  </si>
  <si>
    <t>WVRTP B-740 BOILERS CHECK LIST</t>
  </si>
  <si>
    <t>Boiler Operator:</t>
  </si>
  <si>
    <t>Date/Time:</t>
  </si>
  <si>
    <t>Check Item</t>
  </si>
  <si>
    <t>Readings Days</t>
  </si>
  <si>
    <t>Readings Nights</t>
  </si>
  <si>
    <t>City Water Meter</t>
  </si>
  <si>
    <t>City Water Meter Weekly</t>
  </si>
  <si>
    <t>East Water Softener Status</t>
  </si>
  <si>
    <t>West Softener North Status</t>
  </si>
  <si>
    <t>Feed Water Tank Level</t>
  </si>
  <si>
    <t>Feed Water Tank Temp</t>
  </si>
  <si>
    <t>#1 Boiler Feed Water Pump Status &amp; PSI</t>
  </si>
  <si>
    <t>#2 Boiler Feed Water Pump Status &amp; PSI</t>
  </si>
  <si>
    <t>#1 Boiler Status &amp; Steam Pressure</t>
  </si>
  <si>
    <t>#2 Boiler Status &amp; Steam Pressure</t>
  </si>
  <si>
    <t>704 MASTER LOGSHEET</t>
  </si>
  <si>
    <t>Night Operator:</t>
  </si>
  <si>
    <t>Day Operator:</t>
  </si>
  <si>
    <t>Time</t>
  </si>
  <si>
    <t>Fire H2O</t>
  </si>
  <si>
    <t>Upper Level Air</t>
  </si>
  <si>
    <t>Lower Level Air</t>
  </si>
  <si>
    <t>Inst. Air</t>
  </si>
  <si>
    <t>Out. Air Temp</t>
  </si>
  <si>
    <t>Gas Line Pressure</t>
  </si>
  <si>
    <t>0:00 AM</t>
  </si>
  <si>
    <t>1:00 AM</t>
  </si>
  <si>
    <t>2:00 AM</t>
  </si>
  <si>
    <t>3:00 AM</t>
  </si>
  <si>
    <t>4:00 AM</t>
  </si>
  <si>
    <t>5:00 AM</t>
  </si>
  <si>
    <t>6:00 AM</t>
  </si>
  <si>
    <t>7:00 AM</t>
  </si>
  <si>
    <t>8:00 AM</t>
  </si>
  <si>
    <t>9:00 AM</t>
  </si>
  <si>
    <t>10:00 AM</t>
  </si>
  <si>
    <t>11:00 AM</t>
  </si>
  <si>
    <t>12:00 PM</t>
  </si>
  <si>
    <t>13:00 PM</t>
  </si>
  <si>
    <t>14:00 PM</t>
  </si>
  <si>
    <t>15:00 PM</t>
  </si>
  <si>
    <t>16:00 PM</t>
  </si>
  <si>
    <t>17:00 PM</t>
  </si>
  <si>
    <t>18:00 PM</t>
  </si>
  <si>
    <t>19:00 PM</t>
  </si>
  <si>
    <t>20:00 PM</t>
  </si>
  <si>
    <t>21:00 PM</t>
  </si>
  <si>
    <t>22:00 PM</t>
  </si>
  <si>
    <t>23:00 PM</t>
  </si>
  <si>
    <t>SUBSTATION WEEKLY CHECKLIST</t>
  </si>
  <si>
    <t>Page 6 of 7 — WVRTP Procedures — Weekly Checklist</t>
  </si>
  <si>
    <t>Inspected By:</t>
  </si>
  <si>
    <t>Measurement</t>
  </si>
  <si>
    <t>Lighting</t>
  </si>
  <si>
    <t>ON/OFF</t>
  </si>
  <si>
    <t>ON</t>
  </si>
  <si>
    <t>Ventilation Fan</t>
  </si>
  <si>
    <t>Batteries - Voltage</t>
  </si>
  <si>
    <t>Volts</t>
  </si>
  <si>
    <t>Batteries - Amps</t>
  </si>
  <si>
    <t>Amps</t>
  </si>
  <si>
    <t>Unit 2 Incoming 13.8KV at Sub-51 - Voltage</t>
  </si>
  <si>
    <t>Unit 2 Incoming 13.8KV at Sub-51 - Amps</t>
  </si>
  <si>
    <t>13.8KV Incoming at Sub-52 - Voltage</t>
  </si>
  <si>
    <t>13.8KV Incoming at Sub-52 - Amps</t>
  </si>
  <si>
    <t>480V Westinghouse - Voltage</t>
  </si>
  <si>
    <t>480V Westinghouse - Amps</t>
  </si>
  <si>
    <t>480V Westinghouse - Ground Lights</t>
  </si>
  <si>
    <t>2400V Westinghouse - Voltage</t>
  </si>
  <si>
    <t>2400V Westinghouse - Amps</t>
  </si>
  <si>
    <t>Housekeeping</t>
  </si>
  <si>
    <t>Substation Oil Levels</t>
  </si>
  <si>
    <t>Level</t>
  </si>
  <si>
    <t>SUBSTATION / TRANSFORMER OIL CHECK</t>
  </si>
  <si>
    <t>Page 7 of 7 — WVRTP Procedures — Weekly Checklist</t>
  </si>
  <si>
    <t>Substation/Transformer</t>
  </si>
  <si>
    <t>Voltage/Description</t>
  </si>
  <si>
    <t>Schedule</t>
  </si>
  <si>
    <t>Oil Level</t>
  </si>
  <si>
    <t>Oil Leaks (Y/N)</t>
  </si>
  <si>
    <t>Initials</t>
  </si>
  <si>
    <t>Check Date/Time</t>
  </si>
  <si>
    <t>SUB 51</t>
  </si>
  <si>
    <t>2.4 KV</t>
  </si>
  <si>
    <t>1/shift</t>
  </si>
  <si>
    <t>SUB 52</t>
  </si>
  <si>
    <t>480V South</t>
  </si>
  <si>
    <t>480V Center</t>
  </si>
  <si>
    <t>SUB 53</t>
  </si>
  <si>
    <t>480V North</t>
  </si>
  <si>
    <t>480V West</t>
  </si>
  <si>
    <t>480V East</t>
  </si>
  <si>
    <t>SUB 55</t>
  </si>
  <si>
    <t>480V Spare</t>
  </si>
  <si>
    <t>480V Semi-Works</t>
  </si>
  <si>
    <t>SUB 56</t>
  </si>
  <si>
    <t>Cinergy</t>
  </si>
  <si>
    <t>2.4KV</t>
  </si>
  <si>
    <t>1 Transformer (along driveway)</t>
  </si>
  <si>
    <t>SUB 53 770 HVAC</t>
  </si>
  <si>
    <t>13.8KV to 480V LEAK CHECK OIL ONLY</t>
  </si>
  <si>
    <t>WVRTP OPERATIONS WEEKLY CHECKLIST</t>
  </si>
  <si>
    <t>Core Areas and Equipment (B1-709) / 704 Checkpoints</t>
  </si>
  <si>
    <t>Initials:</t>
  </si>
  <si>
    <t>Item #</t>
  </si>
  <si>
    <t>Comments</t>
  </si>
  <si>
    <t>CORE AREAS AND EQUIPMENT (B1-709)</t>
  </si>
  <si>
    <t>1</t>
  </si>
  <si>
    <t>Asbestos insulation — OK or needs repairs</t>
  </si>
  <si>
    <t>OK</t>
  </si>
  <si>
    <t>2</t>
  </si>
  <si>
    <t>Door and windows closed and in good condition</t>
  </si>
  <si>
    <t>3</t>
  </si>
  <si>
    <t>Pump discharge / firewater makeup 704</t>
  </si>
  <si>
    <t>4</t>
  </si>
  <si>
    <t>Carseals visible and unbroken</t>
  </si>
  <si>
    <t>5</t>
  </si>
  <si>
    <t>Housekeeping in the boiler house</t>
  </si>
  <si>
    <t>704 CHECKPOINTS</t>
  </si>
  <si>
    <t>5a</t>
  </si>
  <si>
    <t>Carseals — check that carseals are visible and unbroken</t>
  </si>
  <si>
    <t>5b</t>
  </si>
  <si>
    <t>Valve under relief valve on discharge line downstream of after cooler on plant air</t>
  </si>
  <si>
    <t>5c</t>
  </si>
  <si>
    <t>Reducing station to lower level</t>
  </si>
  <si>
    <t>5d</t>
  </si>
  <si>
    <t>Valves under relief valves on north and south prefilters on plant air dryer</t>
  </si>
  <si>
    <t>OTHER AREAS AND EQUIPMENT</t>
  </si>
  <si>
    <t>6</t>
  </si>
  <si>
    <t>Other areas and equipment inspection</t>
  </si>
  <si>
    <t>7</t>
  </si>
  <si>
    <t>General campus housekeeping</t>
  </si>
  <si>
    <t>INSPECTION SCHEDULE</t>
  </si>
  <si>
    <t>Inspection Type</t>
  </si>
  <si>
    <t>Due By</t>
  </si>
  <si>
    <t>Last Completed</t>
  </si>
  <si>
    <t>Owner</t>
  </si>
  <si>
    <t>Days Until Due</t>
  </si>
  <si>
    <t>Boiler Daily Operations</t>
  </si>
  <si>
    <t>Daily</t>
  </si>
  <si>
    <t>End of Day</t>
  </si>
  <si>
    <t>Team A</t>
  </si>
  <si>
    <t>Boiler Water Chemistry</t>
  </si>
  <si>
    <t>HVAC Inspection</t>
  </si>
  <si>
    <t>End of Week</t>
  </si>
  <si>
    <t>Team B</t>
  </si>
  <si>
    <t>Substation Weekly Check</t>
  </si>
  <si>
    <t>Oil Level Check</t>
  </si>
  <si>
    <t>Per Shift</t>
  </si>
  <si>
    <t>End of Shift</t>
  </si>
  <si>
    <t>On Duty</t>
  </si>
  <si>
    <t>Switchgear Inspection</t>
  </si>
  <si>
    <t>Monthly</t>
  </si>
  <si>
    <t>End of Month</t>
  </si>
  <si>
    <t>Transformer Oil Check</t>
  </si>
  <si>
    <t>Chiller Oil Check</t>
  </si>
  <si>
    <t>740 FEEDERS REFERENCE</t>
  </si>
  <si>
    <t>Switchgear Lineup — Source: IMG_0112.jpg</t>
  </si>
  <si>
    <t>Feeder ID</t>
  </si>
  <si>
    <t>Feeder Name</t>
  </si>
  <si>
    <t>Voltage</t>
  </si>
  <si>
    <t>Feeds</t>
  </si>
  <si>
    <t>MCC</t>
  </si>
  <si>
    <t>B727-A</t>
  </si>
  <si>
    <t>740 WEST FEEDER B727 A</t>
  </si>
  <si>
    <t>MCC-3</t>
  </si>
  <si>
    <t>740 Switchgear West</t>
  </si>
  <si>
    <t>Main west feeder</t>
  </si>
  <si>
    <t>B727-N6</t>
  </si>
  <si>
    <t>740 WEST FEEDER B727 N6</t>
  </si>
  <si>
    <t>Neutral feeder</t>
  </si>
  <si>
    <t>SW-2.4B</t>
  </si>
  <si>
    <t>SW 2.4B 440V</t>
  </si>
  <si>
    <t>Textile Fibers Annex B-727 Panel PP-5</t>
  </si>
  <si>
    <t>740 Switchgear</t>
  </si>
  <si>
    <t>SW 2.5B 440V</t>
  </si>
  <si>
    <t>MCC-3, S. Fan RM. B-740</t>
  </si>
  <si>
    <t>Feeds South Fan Room</t>
  </si>
  <si>
    <t>SW-2.3B</t>
  </si>
  <si>
    <t>SW 2.3B</t>
  </si>
  <si>
    <t>Fed from #2 W. Trans.</t>
  </si>
  <si>
    <t>SPARE-1</t>
  </si>
  <si>
    <t>SPARE</t>
  </si>
  <si>
    <t>Spare</t>
  </si>
  <si>
    <t>Available for future use</t>
  </si>
  <si>
    <t>SPARE-2</t>
  </si>
  <si>
    <t>740 Switchgear East</t>
  </si>
  <si>
    <t>EVENT LOG</t>
  </si>
  <si>
    <t>740 Switchgear Event Tracking</t>
  </si>
  <si>
    <t>Event Codes: CH=Close/Connect Hand, SH=Switch Hand, SD=Shutdown, ST=Start</t>
  </si>
  <si>
    <t>Event ID</t>
  </si>
  <si>
    <t>Equipment</t>
  </si>
  <si>
    <t>Event Code</t>
  </si>
  <si>
    <t>Event Description</t>
  </si>
  <si>
    <t>Operator</t>
  </si>
  <si>
    <t>EVT-20260401-001</t>
  </si>
  <si>
    <t>10:45</t>
  </si>
  <si>
    <t>740 Switchgear - SW 2.5B</t>
  </si>
  <si>
    <t>SD</t>
  </si>
  <si>
    <t>Shutdown</t>
  </si>
  <si>
    <t>EVT-20260401-002</t>
  </si>
  <si>
    <t>18:00</t>
  </si>
  <si>
    <t>ST</t>
  </si>
  <si>
    <t>Start</t>
  </si>
  <si>
    <t>EVT-20260403-003</t>
  </si>
  <si>
    <t>08:30</t>
  </si>
  <si>
    <t>740 Switchgear - B727 A</t>
  </si>
  <si>
    <t>SH</t>
  </si>
  <si>
    <t>Switch Hand</t>
  </si>
  <si>
    <t>Routine switch hand</t>
  </si>
  <si>
    <t>TRANSCRIPTION NOTES</t>
  </si>
  <si>
    <t>Uncertain text from photographed forms requiring review</t>
  </si>
  <si>
    <t>Source Image</t>
  </si>
  <si>
    <t>Sheet/Tab</t>
  </si>
  <si>
    <t>Row/Location</t>
  </si>
  <si>
    <t>Original Text (Best Effort)</t>
  </si>
  <si>
    <t>Confidence</t>
  </si>
  <si>
    <t>Needs Review?</t>
  </si>
  <si>
    <t>Reviewer Notes</t>
  </si>
  <si>
    <t>Resolved Value</t>
  </si>
  <si>
    <t>IMG_0109.jpg</t>
  </si>
  <si>
    <t>Boiler #2 Sulfite</t>
  </si>
  <si>
    <t>Value partially obscured</t>
  </si>
  <si>
    <t>Low</t>
  </si>
  <si>
    <t>Yes</t>
  </si>
  <si>
    <t>IMG_0110.jpg</t>
  </si>
  <si>
    <t>Event Log</t>
  </si>
  <si>
    <t>Multiple entries</t>
  </si>
  <si>
    <t>Handwritten log entries</t>
  </si>
  <si>
    <t>Medium</t>
  </si>
  <si>
    <t>Best-effort transcription</t>
  </si>
  <si>
    <t>IMG_0111.jpg</t>
  </si>
  <si>
    <t>Handwritten log continuation</t>
  </si>
  <si>
    <t>Weekly Checklist photos</t>
  </si>
  <si>
    <t>Ops Weekly Checklist</t>
  </si>
  <si>
    <t>Pages 2-3</t>
  </si>
  <si>
    <t>Highlighted items partially obscured</t>
  </si>
  <si>
    <t>Text angled and highlighted</t>
  </si>
  <si>
    <t>REVISION HISTORY</t>
  </si>
  <si>
    <t>Revision</t>
  </si>
  <si>
    <t>Author</t>
  </si>
  <si>
    <t>Description</t>
  </si>
  <si>
    <t>Affected Sheets</t>
  </si>
  <si>
    <t>1.0</t>
  </si>
  <si>
    <t>7/12/2022</t>
  </si>
  <si>
    <t>Jackson</t>
  </si>
  <si>
    <t>Added Initial and date space on front page</t>
  </si>
  <si>
    <t>Weekly Checklist</t>
  </si>
  <si>
    <t>Released</t>
  </si>
  <si>
    <t>2.0</t>
  </si>
  <si>
    <t>4/11/2025</t>
  </si>
  <si>
    <t>Nexus Team</t>
  </si>
  <si>
    <t>Initial workbook creation from consolidation plan</t>
  </si>
  <si>
    <t>All</t>
  </si>
  <si>
    <t>2.1</t>
  </si>
  <si>
    <t>Added 740 Feeders Reference, Event Log, Transcription Notes</t>
  </si>
  <si>
    <t>740 Feeders Ref, Event Log, Transcription Notes</t>
  </si>
  <si>
    <t>3.0</t>
  </si>
  <si>
    <t>4/11/2026</t>
  </si>
  <si>
    <t>Manus</t>
  </si>
  <si>
    <t>Complete rebuild: 14-sheet master workbook with full data validation, conditional formatting, formulas, and all paper forms digitized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</si>
</sst>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1.0"/>
      <color theme="1"/>
      <name val="Arial"/>
      <scheme val="minor"/>
    </font>
    <font>
      <b/>
      <sz val="16.0"/>
      <color rgb="FF1F3864"/>
      <name val="Calibri"/>
    </font>
    <font>
      <b/>
      <sz val="12.0"/>
      <color rgb="FF404040"/>
      <name val="Calibri"/>
    </font>
    <font>
      <b/>
      <sz val="11.0"/>
      <color rgb="FF1F3864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20.0"/>
      <color rgb="FF1F3864"/>
      <name val="Calibri"/>
    </font>
    <font>
      <b/>
      <sz val="20.0"/>
      <color rgb="FFC00000"/>
      <name val="Calibri"/>
    </font>
    <font>
      <b/>
      <sz val="11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i/>
      <sz val="10.0"/>
      <color rgb="FF404040"/>
      <name val="Calibri"/>
    </font>
    <font>
      <color theme="1"/>
      <name val="Calibri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i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2" fontId="3" numFmtId="0" xfId="0" applyBorder="1" applyFont="1"/>
    <xf borderId="2" fillId="2" fontId="4" numFmtId="0" xfId="0" applyBorder="1" applyFont="1"/>
    <xf borderId="1" fillId="3" fontId="8" numFmtId="0" xfId="0" applyAlignment="1" applyBorder="1" applyFill="1" applyFont="1">
      <alignment horizontal="center" shrinkToFit="0" vertical="center" wrapText="1"/>
    </xf>
    <xf borderId="1" fillId="0" fontId="9" numFmtId="0" xfId="0" applyBorder="1" applyFont="1"/>
    <xf borderId="1" fillId="0" fontId="9" numFmtId="9" xfId="0" applyBorder="1" applyFont="1" applyNumberFormat="1"/>
    <xf borderId="1" fillId="4" fontId="9" numFmtId="0" xfId="0" applyBorder="1" applyFill="1" applyFont="1"/>
    <xf borderId="0" fillId="0" fontId="10" numFmtId="0" xfId="0" applyFont="1"/>
    <xf borderId="0" fillId="0" fontId="11" numFmtId="0" xfId="0" applyFont="1"/>
    <xf borderId="1" fillId="0" fontId="9" numFmtId="164" xfId="0" applyBorder="1" applyFont="1" applyNumberFormat="1"/>
    <xf borderId="1" fillId="3" fontId="12" numFmtId="0" xfId="0" applyAlignment="1" applyBorder="1" applyFont="1">
      <alignment horizontal="center" shrinkToFit="0" wrapText="1"/>
    </xf>
    <xf borderId="0" fillId="0" fontId="4" numFmtId="0" xfId="0" applyAlignment="1" applyFont="1">
      <alignment vertical="bottom"/>
    </xf>
    <xf borderId="0" fillId="0" fontId="5" numFmtId="0" xfId="0" applyFont="1"/>
    <xf borderId="1" fillId="5" fontId="13" numFmtId="0" xfId="0" applyAlignment="1" applyBorder="1" applyFill="1" applyFont="1">
      <alignment horizontal="center" shrinkToFit="0" vertical="center" wrapText="1"/>
    </xf>
    <xf borderId="0" fillId="5" fontId="13" numFmtId="0" xfId="0" applyFont="1"/>
    <xf borderId="1" fillId="2" fontId="9" numFmtId="0" xfId="0" applyAlignment="1" applyBorder="1" applyFont="1">
      <alignment horizontal="left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0" fillId="6" fontId="14" numFmtId="0" xfId="0" applyFont="1"/>
    <xf borderId="1" fillId="3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readingOrder="0"/>
    </xf>
    <xf borderId="0" fillId="0" fontId="15" numFmtId="0" xfId="0" applyFont="1"/>
  </cellXfs>
  <cellStyles count="1">
    <cellStyle xfId="0" name="Normal" builtinId="0"/>
  </cellStyles>
  <dxfs count="3">
    <dxf>
      <font>
        <b/>
        <sz val="10.0"/>
        <color rgb="FFC00000"/>
        <name val="Calibri"/>
      </font>
      <fill>
        <patternFill patternType="solid">
          <fgColor rgb="FFFCE4EC"/>
          <bgColor rgb="FFFCE4EC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8" width="15.75"/>
    <col customWidth="1" min="9" max="26" width="7.63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4"/>
      <c r="D5" s="4"/>
      <c r="E5" s="4"/>
      <c r="F5" s="4"/>
      <c r="G5" s="4"/>
      <c r="H5" s="4"/>
    </row>
    <row r="7">
      <c r="B7" s="5" t="s">
        <v>3</v>
      </c>
      <c r="D7" s="5" t="s">
        <v>4</v>
      </c>
      <c r="F7" s="5" t="s">
        <v>5</v>
      </c>
      <c r="H7" s="5" t="s">
        <v>6</v>
      </c>
    </row>
    <row r="8">
      <c r="B8" s="6">
        <f>COUNTA('Equipment Registry'!B4:B100)</f>
        <v>19</v>
      </c>
      <c r="D8" s="6">
        <f>COUNTIF('Equipment Registry'!I4:I100,"Active")</f>
        <v>0</v>
      </c>
      <c r="F8" s="6">
        <f>COUNTA('Inspection Log'!B4:B1000)</f>
        <v>5</v>
      </c>
      <c r="H8" s="7">
        <f>IFERROR(COUNTIF('Inspection Log'!E4:E1000,"Pass")/COUNTA('Inspection Log'!E4:E1000),0)</f>
        <v>0</v>
      </c>
    </row>
    <row r="10">
      <c r="B10" s="5" t="s">
        <v>7</v>
      </c>
      <c r="D10" s="5" t="s">
        <v>8</v>
      </c>
      <c r="F10" s="5" t="s">
        <v>9</v>
      </c>
      <c r="H10" s="5" t="s">
        <v>10</v>
      </c>
    </row>
    <row r="11">
      <c r="B11" s="8">
        <f>COUNTIF('Inspection Schedule'!I4:I100,"Overdue")</f>
        <v>0</v>
      </c>
      <c r="D11" s="8">
        <f>COUNTIF('Substation Oil Check'!F5:F100,"Yes")</f>
        <v>0</v>
      </c>
      <c r="F11" s="8">
        <f>COUNTIF('Boiler Water Chemistry'!B:B,"OUT OF RANGE")</f>
        <v>0</v>
      </c>
      <c r="H11" s="8">
        <f>COUNTA('Event Log'!B8:B200)</f>
        <v>2</v>
      </c>
    </row>
    <row r="14">
      <c r="B14" s="9" t="s">
        <v>11</v>
      </c>
      <c r="C14" s="10"/>
      <c r="D14" s="10"/>
      <c r="E14" s="10"/>
      <c r="F14" s="10"/>
      <c r="G14" s="10"/>
      <c r="H14" s="10"/>
    </row>
    <row r="15">
      <c r="A15" s="11"/>
      <c r="B15" s="11" t="s">
        <v>12</v>
      </c>
      <c r="C15" s="11" t="s">
        <v>13</v>
      </c>
      <c r="D15" s="11" t="s">
        <v>14</v>
      </c>
      <c r="E15" s="11" t="s">
        <v>15</v>
      </c>
      <c r="F15" s="11" t="s">
        <v>6</v>
      </c>
    </row>
    <row r="16">
      <c r="B16" s="12" t="s">
        <v>16</v>
      </c>
      <c r="C16" s="12">
        <f>COUNTIF('Inspection Log'!C4:C1000,B16)</f>
        <v>0</v>
      </c>
      <c r="D16" s="12">
        <f>COUNTIFS('Inspection Log'!C4:C1000,B16,'Inspection Log'!E4:E1000,"Pass")</f>
        <v>0</v>
      </c>
      <c r="E16" s="12">
        <f>COUNTIFS('Inspection Log'!C4:C1000,B16,'Inspection Log'!E4:E1000,"Fail")</f>
        <v>0</v>
      </c>
      <c r="F16" s="13">
        <f t="shared" ref="F16:F21" si="1">IFERROR(D16/C16,0)</f>
        <v>0</v>
      </c>
    </row>
    <row r="17">
      <c r="B17" s="12" t="s">
        <v>17</v>
      </c>
      <c r="C17" s="12">
        <f>COUNTIF('Inspection Log'!C4:C1000,B17)</f>
        <v>0</v>
      </c>
      <c r="D17" s="12">
        <f>COUNTIFS('Inspection Log'!C4:C1000,B17,'Inspection Log'!E4:E1000,"Pass")</f>
        <v>0</v>
      </c>
      <c r="E17" s="12">
        <f>COUNTIFS('Inspection Log'!C4:C1000,B17,'Inspection Log'!E4:E1000,"Fail")</f>
        <v>0</v>
      </c>
      <c r="F17" s="13">
        <f t="shared" si="1"/>
        <v>0</v>
      </c>
    </row>
    <row r="18">
      <c r="B18" s="12" t="s">
        <v>18</v>
      </c>
      <c r="C18" s="12">
        <f>COUNTIF('Inspection Log'!C4:C1000,B18)</f>
        <v>0</v>
      </c>
      <c r="D18" s="12">
        <f>COUNTIFS('Inspection Log'!C4:C1000,B18,'Inspection Log'!E4:E1000,"Pass")</f>
        <v>0</v>
      </c>
      <c r="E18" s="12">
        <f>COUNTIFS('Inspection Log'!C4:C1000,B18,'Inspection Log'!E4:E1000,"Fail")</f>
        <v>0</v>
      </c>
      <c r="F18" s="13">
        <f t="shared" si="1"/>
        <v>0</v>
      </c>
    </row>
    <row r="19">
      <c r="B19" s="12" t="s">
        <v>19</v>
      </c>
      <c r="C19" s="12">
        <f>COUNTIF('Inspection Log'!C4:C1000,B19)</f>
        <v>0</v>
      </c>
      <c r="D19" s="12">
        <f>COUNTIFS('Inspection Log'!C4:C1000,B19,'Inspection Log'!E4:E1000,"Pass")</f>
        <v>0</v>
      </c>
      <c r="E19" s="12">
        <f>COUNTIFS('Inspection Log'!C4:C1000,B19,'Inspection Log'!E4:E1000,"Fail")</f>
        <v>0</v>
      </c>
      <c r="F19" s="13">
        <f t="shared" si="1"/>
        <v>0</v>
      </c>
    </row>
    <row r="20">
      <c r="B20" s="12" t="s">
        <v>20</v>
      </c>
      <c r="C20" s="12">
        <f>COUNTIF('Inspection Log'!C4:C1000,B20)</f>
        <v>0</v>
      </c>
      <c r="D20" s="12">
        <f>COUNTIFS('Inspection Log'!C4:C1000,B20,'Inspection Log'!E4:E1000,"Pass")</f>
        <v>0</v>
      </c>
      <c r="E20" s="12">
        <f>COUNTIFS('Inspection Log'!C4:C1000,B20,'Inspection Log'!E4:E1000,"Fail")</f>
        <v>0</v>
      </c>
      <c r="F20" s="13">
        <f t="shared" si="1"/>
        <v>0</v>
      </c>
    </row>
    <row r="21" ht="15.75" customHeight="1">
      <c r="B21" s="12" t="s">
        <v>21</v>
      </c>
      <c r="C21" s="12">
        <f>COUNTIF('Inspection Log'!C4:C1000,B21)</f>
        <v>0</v>
      </c>
      <c r="D21" s="12">
        <f>COUNTIFS('Inspection Log'!C4:C1000,B21,'Inspection Log'!E4:E1000,"Pass")</f>
        <v>0</v>
      </c>
      <c r="E21" s="12">
        <f>COUNTIFS('Inspection Log'!C4:C1000,B21,'Inspection Log'!E4:E1000,"Fail")</f>
        <v>0</v>
      </c>
      <c r="F21" s="13">
        <f t="shared" si="1"/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B3:H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0" width="17.5"/>
    <col customWidth="1" min="11" max="26" width="7.63"/>
  </cols>
  <sheetData>
    <row r="1">
      <c r="A1" s="1" t="s">
        <v>22</v>
      </c>
    </row>
    <row r="3">
      <c r="A3" s="11" t="s">
        <v>23</v>
      </c>
      <c r="B3" s="11" t="s">
        <v>24</v>
      </c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  <c r="H3" s="11" t="s">
        <v>30</v>
      </c>
      <c r="I3" s="11" t="s">
        <v>31</v>
      </c>
      <c r="J3" s="11" t="s">
        <v>32</v>
      </c>
    </row>
    <row r="4">
      <c r="A4" s="12" t="s">
        <v>33</v>
      </c>
      <c r="B4" s="12" t="s">
        <v>34</v>
      </c>
      <c r="C4" s="12" t="s">
        <v>16</v>
      </c>
      <c r="D4" s="12" t="s">
        <v>35</v>
      </c>
      <c r="E4" s="12" t="s">
        <v>36</v>
      </c>
      <c r="F4" s="12" t="s">
        <v>37</v>
      </c>
      <c r="G4" s="12"/>
      <c r="H4" s="12" t="s">
        <v>38</v>
      </c>
      <c r="I4" s="12" t="str">
        <f t="array" ref="I4">IFERROR(INDEX('Inspection Log'!F$4:F$1000,MATCH(A4,'Inspection Log'!B$4:B$1000,0)),"")</f>
        <v/>
      </c>
      <c r="J4" s="12"/>
    </row>
    <row r="5">
      <c r="A5" s="14" t="s">
        <v>39</v>
      </c>
      <c r="B5" s="14" t="s">
        <v>40</v>
      </c>
      <c r="C5" s="14" t="s">
        <v>16</v>
      </c>
      <c r="D5" s="14" t="s">
        <v>35</v>
      </c>
      <c r="E5" s="14" t="s">
        <v>36</v>
      </c>
      <c r="F5" s="14" t="s">
        <v>37</v>
      </c>
      <c r="G5" s="14"/>
      <c r="H5" s="14" t="s">
        <v>38</v>
      </c>
      <c r="I5" s="14"/>
      <c r="J5" s="14"/>
    </row>
    <row r="6">
      <c r="A6" s="12" t="s">
        <v>41</v>
      </c>
      <c r="B6" s="12" t="s">
        <v>42</v>
      </c>
      <c r="C6" s="12" t="s">
        <v>17</v>
      </c>
      <c r="D6" s="12" t="s">
        <v>43</v>
      </c>
      <c r="E6" s="12" t="s">
        <v>44</v>
      </c>
      <c r="F6" s="12" t="s">
        <v>45</v>
      </c>
      <c r="G6" s="12"/>
      <c r="H6" s="12" t="s">
        <v>38</v>
      </c>
      <c r="I6" s="12"/>
      <c r="J6" s="12"/>
    </row>
    <row r="7">
      <c r="A7" s="14" t="s">
        <v>46</v>
      </c>
      <c r="B7" s="14" t="s">
        <v>47</v>
      </c>
      <c r="C7" s="14" t="s">
        <v>17</v>
      </c>
      <c r="D7" s="14" t="s">
        <v>43</v>
      </c>
      <c r="E7" s="14" t="s">
        <v>44</v>
      </c>
      <c r="F7" s="14" t="s">
        <v>45</v>
      </c>
      <c r="G7" s="14"/>
      <c r="H7" s="14" t="s">
        <v>38</v>
      </c>
      <c r="I7" s="14"/>
      <c r="J7" s="14"/>
    </row>
    <row r="8">
      <c r="A8" s="12" t="s">
        <v>48</v>
      </c>
      <c r="B8" s="12" t="s">
        <v>49</v>
      </c>
      <c r="C8" s="12" t="s">
        <v>18</v>
      </c>
      <c r="D8" s="12" t="s">
        <v>50</v>
      </c>
      <c r="E8" s="12" t="s">
        <v>51</v>
      </c>
      <c r="F8" s="12" t="s">
        <v>52</v>
      </c>
      <c r="G8" s="12"/>
      <c r="H8" s="12" t="s">
        <v>38</v>
      </c>
      <c r="I8" s="12"/>
      <c r="J8" s="12"/>
    </row>
    <row r="9">
      <c r="A9" s="14" t="s">
        <v>53</v>
      </c>
      <c r="B9" s="14" t="s">
        <v>54</v>
      </c>
      <c r="C9" s="14" t="s">
        <v>18</v>
      </c>
      <c r="D9" s="14" t="s">
        <v>50</v>
      </c>
      <c r="E9" s="14" t="s">
        <v>51</v>
      </c>
      <c r="F9" s="14" t="s">
        <v>52</v>
      </c>
      <c r="G9" s="14"/>
      <c r="H9" s="14" t="s">
        <v>38</v>
      </c>
      <c r="I9" s="14"/>
      <c r="J9" s="14"/>
    </row>
    <row r="10">
      <c r="A10" s="12" t="s">
        <v>55</v>
      </c>
      <c r="B10" s="12" t="s">
        <v>56</v>
      </c>
      <c r="C10" s="12" t="s">
        <v>18</v>
      </c>
      <c r="D10" s="12" t="s">
        <v>50</v>
      </c>
      <c r="E10" s="12" t="s">
        <v>51</v>
      </c>
      <c r="F10" s="12" t="s">
        <v>57</v>
      </c>
      <c r="G10" s="12"/>
      <c r="H10" s="12" t="s">
        <v>38</v>
      </c>
      <c r="I10" s="12"/>
      <c r="J10" s="12"/>
    </row>
    <row r="11">
      <c r="A11" s="14" t="s">
        <v>58</v>
      </c>
      <c r="B11" s="14" t="s">
        <v>59</v>
      </c>
      <c r="C11" s="14" t="s">
        <v>18</v>
      </c>
      <c r="D11" s="14" t="s">
        <v>50</v>
      </c>
      <c r="E11" s="14" t="s">
        <v>51</v>
      </c>
      <c r="F11" s="14" t="s">
        <v>57</v>
      </c>
      <c r="G11" s="14"/>
      <c r="H11" s="14" t="s">
        <v>38</v>
      </c>
      <c r="I11" s="14"/>
      <c r="J11" s="14"/>
    </row>
    <row r="12">
      <c r="A12" s="12" t="s">
        <v>60</v>
      </c>
      <c r="B12" s="12" t="s">
        <v>61</v>
      </c>
      <c r="C12" s="12" t="s">
        <v>18</v>
      </c>
      <c r="D12" s="12" t="s">
        <v>50</v>
      </c>
      <c r="E12" s="12" t="s">
        <v>51</v>
      </c>
      <c r="F12" s="12" t="s">
        <v>57</v>
      </c>
      <c r="G12" s="12"/>
      <c r="H12" s="12" t="s">
        <v>38</v>
      </c>
      <c r="I12" s="12"/>
      <c r="J12" s="12"/>
    </row>
    <row r="13">
      <c r="A13" s="14" t="s">
        <v>62</v>
      </c>
      <c r="B13" s="14" t="s">
        <v>63</v>
      </c>
      <c r="C13" s="14" t="s">
        <v>19</v>
      </c>
      <c r="D13" s="14" t="s">
        <v>35</v>
      </c>
      <c r="E13" s="14" t="s">
        <v>36</v>
      </c>
      <c r="F13" s="14" t="s">
        <v>57</v>
      </c>
      <c r="G13" s="14"/>
      <c r="H13" s="14" t="s">
        <v>38</v>
      </c>
      <c r="I13" s="14"/>
      <c r="J13" s="14"/>
    </row>
    <row r="14">
      <c r="A14" s="12" t="s">
        <v>64</v>
      </c>
      <c r="B14" s="12" t="s">
        <v>65</v>
      </c>
      <c r="C14" s="12" t="s">
        <v>19</v>
      </c>
      <c r="D14" s="12" t="s">
        <v>35</v>
      </c>
      <c r="E14" s="12" t="s">
        <v>36</v>
      </c>
      <c r="F14" s="12" t="s">
        <v>57</v>
      </c>
      <c r="G14" s="12"/>
      <c r="H14" s="12" t="s">
        <v>38</v>
      </c>
      <c r="I14" s="12"/>
      <c r="J14" s="12"/>
    </row>
    <row r="15">
      <c r="A15" s="14" t="s">
        <v>66</v>
      </c>
      <c r="B15" s="14" t="s">
        <v>67</v>
      </c>
      <c r="C15" s="14" t="s">
        <v>19</v>
      </c>
      <c r="D15" s="14" t="s">
        <v>35</v>
      </c>
      <c r="E15" s="14" t="s">
        <v>36</v>
      </c>
      <c r="F15" s="14" t="s">
        <v>68</v>
      </c>
      <c r="G15" s="14"/>
      <c r="H15" s="14" t="s">
        <v>38</v>
      </c>
      <c r="I15" s="14"/>
      <c r="J15" s="14"/>
    </row>
    <row r="16">
      <c r="A16" s="12" t="s">
        <v>69</v>
      </c>
      <c r="B16" s="12" t="s">
        <v>70</v>
      </c>
      <c r="C16" s="12" t="s">
        <v>20</v>
      </c>
      <c r="D16" s="12" t="s">
        <v>71</v>
      </c>
      <c r="E16" s="12" t="s">
        <v>51</v>
      </c>
      <c r="F16" s="12" t="s">
        <v>72</v>
      </c>
      <c r="G16" s="12"/>
      <c r="H16" s="12" t="s">
        <v>38</v>
      </c>
      <c r="I16" s="12"/>
      <c r="J16" s="12"/>
    </row>
    <row r="17">
      <c r="A17" s="14" t="s">
        <v>73</v>
      </c>
      <c r="B17" s="14" t="s">
        <v>74</v>
      </c>
      <c r="C17" s="14" t="s">
        <v>20</v>
      </c>
      <c r="D17" s="14" t="s">
        <v>75</v>
      </c>
      <c r="E17" s="14" t="s">
        <v>76</v>
      </c>
      <c r="F17" s="14" t="s">
        <v>72</v>
      </c>
      <c r="G17" s="14"/>
      <c r="H17" s="14" t="s">
        <v>38</v>
      </c>
      <c r="I17" s="14"/>
      <c r="J17" s="14"/>
    </row>
    <row r="18">
      <c r="A18" s="12" t="s">
        <v>77</v>
      </c>
      <c r="B18" s="12" t="s">
        <v>78</v>
      </c>
      <c r="C18" s="12" t="s">
        <v>20</v>
      </c>
      <c r="D18" s="12" t="s">
        <v>35</v>
      </c>
      <c r="E18" s="12" t="s">
        <v>36</v>
      </c>
      <c r="F18" s="12" t="s">
        <v>72</v>
      </c>
      <c r="G18" s="12"/>
      <c r="H18" s="12" t="s">
        <v>38</v>
      </c>
      <c r="I18" s="12"/>
      <c r="J18" s="12"/>
    </row>
    <row r="19">
      <c r="A19" s="14" t="s">
        <v>79</v>
      </c>
      <c r="B19" s="14" t="s">
        <v>80</v>
      </c>
      <c r="C19" s="14" t="s">
        <v>21</v>
      </c>
      <c r="D19" s="14" t="s">
        <v>81</v>
      </c>
      <c r="E19" s="14" t="s">
        <v>51</v>
      </c>
      <c r="F19" s="14" t="s">
        <v>72</v>
      </c>
      <c r="G19" s="14"/>
      <c r="H19" s="14" t="s">
        <v>38</v>
      </c>
      <c r="I19" s="14"/>
      <c r="J19" s="14"/>
    </row>
    <row r="20">
      <c r="A20" s="12" t="s">
        <v>82</v>
      </c>
      <c r="B20" s="12" t="s">
        <v>83</v>
      </c>
      <c r="C20" s="12" t="s">
        <v>21</v>
      </c>
      <c r="D20" s="12" t="s">
        <v>84</v>
      </c>
      <c r="E20" s="12" t="s">
        <v>51</v>
      </c>
      <c r="F20" s="12" t="s">
        <v>72</v>
      </c>
      <c r="G20" s="12"/>
      <c r="H20" s="12" t="s">
        <v>38</v>
      </c>
      <c r="I20" s="12"/>
      <c r="J20" s="12"/>
    </row>
    <row r="21" ht="15.75" customHeight="1">
      <c r="A21" s="14" t="s">
        <v>85</v>
      </c>
      <c r="B21" s="14" t="s">
        <v>86</v>
      </c>
      <c r="C21" s="14" t="s">
        <v>17</v>
      </c>
      <c r="D21" s="14" t="s">
        <v>87</v>
      </c>
      <c r="E21" s="14" t="s">
        <v>88</v>
      </c>
      <c r="F21" s="14" t="s">
        <v>72</v>
      </c>
      <c r="G21" s="14"/>
      <c r="H21" s="14" t="s">
        <v>38</v>
      </c>
      <c r="I21" s="14"/>
      <c r="J21" s="14"/>
    </row>
    <row r="22" ht="15.75" customHeight="1">
      <c r="A22" s="12" t="s">
        <v>89</v>
      </c>
      <c r="B22" s="12" t="s">
        <v>90</v>
      </c>
      <c r="C22" s="12" t="s">
        <v>20</v>
      </c>
      <c r="D22" s="12" t="s">
        <v>91</v>
      </c>
      <c r="E22" s="12" t="s">
        <v>92</v>
      </c>
      <c r="F22" s="12" t="s">
        <v>72</v>
      </c>
      <c r="G22" s="12"/>
      <c r="H22" s="12" t="s">
        <v>38</v>
      </c>
      <c r="I22" s="12"/>
      <c r="J22" s="12"/>
    </row>
    <row r="23" ht="15.75" customHeight="1">
      <c r="C23" s="15"/>
      <c r="H23" s="15"/>
    </row>
    <row r="24" ht="15.75" customHeight="1">
      <c r="C24" s="15"/>
      <c r="H24" s="15"/>
    </row>
    <row r="25" ht="15.75" customHeight="1">
      <c r="C25" s="15"/>
      <c r="H25" s="15"/>
    </row>
    <row r="26" ht="15.75" customHeight="1">
      <c r="C26" s="15"/>
      <c r="H26" s="15"/>
    </row>
    <row r="27" ht="15.75" customHeight="1">
      <c r="C27" s="15"/>
      <c r="H27" s="15"/>
    </row>
    <row r="28" ht="15.75" customHeight="1">
      <c r="C28" s="15"/>
      <c r="H28" s="15"/>
    </row>
    <row r="29" ht="15.75" customHeight="1">
      <c r="C29" s="15"/>
      <c r="H29" s="15"/>
    </row>
    <row r="30" ht="15.75" customHeight="1">
      <c r="C30" s="15"/>
      <c r="H30" s="15"/>
    </row>
    <row r="31" ht="15.75" customHeight="1">
      <c r="C31" s="15"/>
      <c r="H31" s="15"/>
    </row>
    <row r="32" ht="15.75" customHeight="1">
      <c r="C32" s="15"/>
      <c r="H32" s="15"/>
    </row>
    <row r="33" ht="15.75" customHeight="1">
      <c r="C33" s="15"/>
      <c r="H33" s="15"/>
    </row>
    <row r="34" ht="15.75" customHeight="1">
      <c r="C34" s="15"/>
      <c r="H34" s="15"/>
    </row>
    <row r="35" ht="15.75" customHeight="1">
      <c r="C35" s="15"/>
      <c r="H35" s="15"/>
    </row>
    <row r="36" ht="15.75" customHeight="1">
      <c r="C36" s="15"/>
      <c r="H36" s="15"/>
    </row>
    <row r="37" ht="15.75" customHeight="1">
      <c r="C37" s="15"/>
      <c r="H37" s="15"/>
    </row>
    <row r="38" ht="15.75" customHeight="1">
      <c r="C38" s="15"/>
      <c r="H38" s="15"/>
    </row>
    <row r="39" ht="15.75" customHeight="1">
      <c r="C39" s="15"/>
      <c r="H39" s="15"/>
    </row>
    <row r="40" ht="15.75" customHeight="1">
      <c r="C40" s="15"/>
      <c r="H40" s="15"/>
    </row>
    <row r="41" ht="15.75" customHeight="1">
      <c r="C41" s="15"/>
      <c r="H41" s="15"/>
    </row>
    <row r="42" ht="15.75" customHeight="1">
      <c r="C42" s="15"/>
      <c r="H42" s="15"/>
    </row>
    <row r="43" ht="15.75" customHeight="1">
      <c r="C43" s="15"/>
      <c r="H43" s="15"/>
    </row>
    <row r="44" ht="15.75" customHeight="1">
      <c r="C44" s="15"/>
      <c r="H44" s="15"/>
    </row>
    <row r="45" ht="15.75" customHeight="1">
      <c r="C45" s="15"/>
      <c r="H45" s="15"/>
    </row>
    <row r="46" ht="15.75" customHeight="1">
      <c r="C46" s="15"/>
      <c r="H46" s="15"/>
    </row>
    <row r="47" ht="15.75" customHeight="1">
      <c r="C47" s="15"/>
      <c r="H47" s="15"/>
    </row>
    <row r="48" ht="15.75" customHeight="1">
      <c r="C48" s="15"/>
      <c r="H48" s="15"/>
    </row>
    <row r="49" ht="15.75" customHeight="1">
      <c r="C49" s="15"/>
      <c r="H49" s="15"/>
    </row>
    <row r="50" ht="15.75" customHeight="1">
      <c r="C50" s="15"/>
      <c r="H50" s="15"/>
    </row>
    <row r="51" ht="15.75" customHeight="1">
      <c r="C51" s="15"/>
      <c r="H51" s="15"/>
    </row>
    <row r="52" ht="15.75" customHeight="1">
      <c r="C52" s="15"/>
      <c r="H52" s="15"/>
    </row>
    <row r="53" ht="15.75" customHeight="1">
      <c r="C53" s="15"/>
      <c r="H53" s="15"/>
    </row>
    <row r="54" ht="15.75" customHeight="1">
      <c r="C54" s="15"/>
      <c r="H54" s="15"/>
    </row>
    <row r="55" ht="15.75" customHeight="1">
      <c r="C55" s="15"/>
      <c r="H55" s="15"/>
    </row>
    <row r="56" ht="15.75" customHeight="1">
      <c r="C56" s="15"/>
      <c r="H56" s="15"/>
    </row>
    <row r="57" ht="15.75" customHeight="1">
      <c r="C57" s="15"/>
      <c r="H57" s="15"/>
    </row>
    <row r="58" ht="15.75" customHeight="1">
      <c r="C58" s="15"/>
      <c r="H58" s="15"/>
    </row>
    <row r="59" ht="15.75" customHeight="1">
      <c r="C59" s="15"/>
      <c r="H59" s="15"/>
    </row>
    <row r="60" ht="15.75" customHeight="1">
      <c r="C60" s="15"/>
      <c r="H60" s="15"/>
    </row>
    <row r="61" ht="15.75" customHeight="1">
      <c r="C61" s="15"/>
      <c r="H61" s="15"/>
    </row>
    <row r="62" ht="15.75" customHeight="1">
      <c r="C62" s="15"/>
      <c r="H62" s="15"/>
    </row>
    <row r="63" ht="15.75" customHeight="1">
      <c r="C63" s="15"/>
      <c r="H63" s="15"/>
    </row>
    <row r="64" ht="15.75" customHeight="1">
      <c r="C64" s="15"/>
      <c r="H64" s="15"/>
    </row>
    <row r="65" ht="15.75" customHeight="1">
      <c r="C65" s="15"/>
      <c r="H65" s="15"/>
    </row>
    <row r="66" ht="15.75" customHeight="1">
      <c r="C66" s="15"/>
      <c r="H66" s="15"/>
    </row>
    <row r="67" ht="15.75" customHeight="1">
      <c r="C67" s="15"/>
      <c r="H67" s="15"/>
    </row>
    <row r="68" ht="15.75" customHeight="1">
      <c r="C68" s="15"/>
      <c r="H68" s="15"/>
    </row>
    <row r="69" ht="15.75" customHeight="1">
      <c r="C69" s="15"/>
      <c r="H69" s="15"/>
    </row>
    <row r="70" ht="15.75" customHeight="1">
      <c r="C70" s="15"/>
      <c r="H70" s="15"/>
    </row>
    <row r="71" ht="15.75" customHeight="1">
      <c r="C71" s="15"/>
      <c r="H71" s="15"/>
    </row>
    <row r="72" ht="15.75" customHeight="1">
      <c r="C72" s="15"/>
      <c r="H72" s="1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dataValidations>
    <dataValidation type="list" allowBlank="1" sqref="H4:H72">
      <formula1>"Active,Spare,Decommissioned,Maintenance"</formula1>
    </dataValidation>
    <dataValidation type="list" allowBlank="1" sqref="C4:C72">
      <formula1>"Boiler,HVAC,Substation,Switchgear,Transformer,Chiller,Other"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0" width="15.75"/>
    <col customWidth="1" min="11" max="26" width="7.63"/>
  </cols>
  <sheetData>
    <row r="1">
      <c r="A1" s="1" t="s">
        <v>93</v>
      </c>
    </row>
    <row r="2">
      <c r="A2" s="16" t="s">
        <v>94</v>
      </c>
    </row>
    <row r="3">
      <c r="A3" s="11" t="s">
        <v>23</v>
      </c>
      <c r="B3" s="11" t="s">
        <v>12</v>
      </c>
      <c r="C3" s="11" t="s">
        <v>95</v>
      </c>
      <c r="D3" s="11" t="s">
        <v>96</v>
      </c>
      <c r="E3" s="11" t="s">
        <v>97</v>
      </c>
      <c r="F3" s="11" t="s">
        <v>98</v>
      </c>
      <c r="G3" s="11" t="s">
        <v>99</v>
      </c>
      <c r="H3" s="11" t="s">
        <v>100</v>
      </c>
      <c r="I3" s="11" t="s">
        <v>101</v>
      </c>
      <c r="J3" s="11" t="s">
        <v>102</v>
      </c>
    </row>
    <row r="4">
      <c r="A4" s="12" t="s">
        <v>33</v>
      </c>
      <c r="B4" s="12" t="s">
        <v>16</v>
      </c>
      <c r="C4" s="12" t="s">
        <v>103</v>
      </c>
      <c r="D4" s="12" t="s">
        <v>14</v>
      </c>
      <c r="E4" s="17">
        <v>46113.0</v>
      </c>
      <c r="F4" s="12">
        <v>38.3498</v>
      </c>
      <c r="G4" s="12">
        <v>-81.6326</v>
      </c>
      <c r="H4" s="12" t="s">
        <v>104</v>
      </c>
      <c r="I4" s="12" t="s">
        <v>105</v>
      </c>
      <c r="J4" s="12"/>
    </row>
    <row r="5">
      <c r="A5" s="12" t="s">
        <v>48</v>
      </c>
      <c r="B5" s="12" t="s">
        <v>18</v>
      </c>
      <c r="C5" s="12" t="s">
        <v>106</v>
      </c>
      <c r="D5" s="12" t="s">
        <v>14</v>
      </c>
      <c r="E5" s="17">
        <v>46113.0</v>
      </c>
      <c r="F5" s="12">
        <v>38.3498</v>
      </c>
      <c r="G5" s="12">
        <v>-81.6326</v>
      </c>
      <c r="H5" s="12" t="s">
        <v>104</v>
      </c>
      <c r="I5" s="12" t="s">
        <v>107</v>
      </c>
      <c r="J5" s="12"/>
    </row>
    <row r="6">
      <c r="A6" s="12" t="s">
        <v>39</v>
      </c>
      <c r="B6" s="12" t="s">
        <v>16</v>
      </c>
      <c r="C6" s="12" t="s">
        <v>103</v>
      </c>
      <c r="D6" s="12" t="s">
        <v>15</v>
      </c>
      <c r="E6" s="17">
        <v>46114.0</v>
      </c>
      <c r="F6" s="12">
        <v>38.3498</v>
      </c>
      <c r="G6" s="12">
        <v>-81.6326</v>
      </c>
      <c r="H6" s="12" t="s">
        <v>104</v>
      </c>
      <c r="I6" s="12" t="s">
        <v>108</v>
      </c>
      <c r="J6" s="12"/>
    </row>
    <row r="7">
      <c r="A7" s="12" t="s">
        <v>62</v>
      </c>
      <c r="B7" s="12" t="s">
        <v>19</v>
      </c>
      <c r="C7" s="12" t="s">
        <v>106</v>
      </c>
      <c r="D7" s="12" t="s">
        <v>14</v>
      </c>
      <c r="E7" s="17">
        <v>46115.0</v>
      </c>
      <c r="F7" s="12">
        <v>38.3498</v>
      </c>
      <c r="G7" s="12">
        <v>-81.6326</v>
      </c>
      <c r="H7" s="12" t="s">
        <v>104</v>
      </c>
      <c r="I7" s="12" t="s">
        <v>109</v>
      </c>
      <c r="J7" s="12"/>
    </row>
    <row r="8">
      <c r="A8" s="12" t="s">
        <v>53</v>
      </c>
      <c r="B8" s="12" t="s">
        <v>18</v>
      </c>
      <c r="C8" s="12" t="s">
        <v>103</v>
      </c>
      <c r="D8" s="12" t="s">
        <v>14</v>
      </c>
      <c r="E8" s="17">
        <v>46115.0</v>
      </c>
      <c r="F8" s="12">
        <v>38.3498</v>
      </c>
      <c r="G8" s="12">
        <v>-81.6326</v>
      </c>
      <c r="H8" s="12" t="s">
        <v>104</v>
      </c>
      <c r="I8" s="12" t="s">
        <v>110</v>
      </c>
      <c r="J8" s="12"/>
    </row>
    <row r="9">
      <c r="B9" s="15"/>
      <c r="D9" s="15"/>
    </row>
    <row r="10">
      <c r="B10" s="15"/>
      <c r="D10" s="15"/>
    </row>
    <row r="11">
      <c r="B11" s="15"/>
      <c r="D11" s="15"/>
    </row>
    <row r="12">
      <c r="B12" s="15"/>
      <c r="D12" s="15"/>
    </row>
    <row r="13">
      <c r="B13" s="15"/>
      <c r="D13" s="15"/>
    </row>
    <row r="14">
      <c r="B14" s="15"/>
      <c r="D14" s="15"/>
    </row>
    <row r="15">
      <c r="B15" s="15"/>
      <c r="D15" s="15"/>
    </row>
    <row r="16">
      <c r="B16" s="15"/>
      <c r="D16" s="15"/>
    </row>
    <row r="17">
      <c r="B17" s="15"/>
      <c r="D17" s="15"/>
    </row>
    <row r="18">
      <c r="B18" s="15"/>
      <c r="D18" s="15"/>
    </row>
    <row r="19">
      <c r="B19" s="15"/>
      <c r="D19" s="15"/>
    </row>
    <row r="20">
      <c r="B20" s="15"/>
      <c r="D20" s="15"/>
    </row>
    <row r="21" ht="15.75" customHeight="1">
      <c r="B21" s="15"/>
      <c r="D21" s="15"/>
    </row>
    <row r="22" ht="15.75" customHeight="1">
      <c r="B22" s="15"/>
      <c r="D22" s="15"/>
    </row>
    <row r="23" ht="15.75" customHeight="1">
      <c r="B23" s="15"/>
      <c r="D23" s="15"/>
    </row>
    <row r="24" ht="15.75" customHeight="1">
      <c r="B24" s="15"/>
      <c r="D24" s="15"/>
    </row>
    <row r="25" ht="15.75" customHeight="1">
      <c r="B25" s="15"/>
      <c r="D25" s="15"/>
    </row>
    <row r="26" ht="15.75" customHeight="1">
      <c r="B26" s="15"/>
      <c r="D26" s="15"/>
    </row>
    <row r="27" ht="15.75" customHeight="1">
      <c r="B27" s="15"/>
      <c r="D27" s="15"/>
    </row>
    <row r="28" ht="15.75" customHeight="1">
      <c r="B28" s="15"/>
      <c r="D28" s="15"/>
    </row>
    <row r="29" ht="15.75" customHeight="1">
      <c r="B29" s="15"/>
      <c r="D29" s="15"/>
    </row>
    <row r="30" ht="15.75" customHeight="1">
      <c r="B30" s="15"/>
      <c r="D30" s="15"/>
    </row>
    <row r="31" ht="15.75" customHeight="1">
      <c r="B31" s="15"/>
      <c r="D31" s="15"/>
    </row>
    <row r="32" ht="15.75" customHeight="1">
      <c r="B32" s="15"/>
      <c r="D32" s="15"/>
    </row>
    <row r="33" ht="15.75" customHeight="1">
      <c r="B33" s="15"/>
      <c r="D33" s="15"/>
    </row>
    <row r="34" ht="15.75" customHeight="1">
      <c r="B34" s="15"/>
      <c r="D34" s="15"/>
    </row>
    <row r="35" ht="15.75" customHeight="1">
      <c r="B35" s="15"/>
      <c r="D35" s="15"/>
    </row>
    <row r="36" ht="15.75" customHeight="1">
      <c r="B36" s="15"/>
      <c r="D36" s="15"/>
    </row>
    <row r="37" ht="15.75" customHeight="1">
      <c r="B37" s="15"/>
      <c r="D37" s="15"/>
    </row>
    <row r="38" ht="15.75" customHeight="1">
      <c r="B38" s="15"/>
      <c r="D38" s="15"/>
    </row>
    <row r="39" ht="15.75" customHeight="1">
      <c r="B39" s="15"/>
      <c r="D39" s="15"/>
    </row>
    <row r="40" ht="15.75" customHeight="1">
      <c r="B40" s="15"/>
      <c r="D40" s="15"/>
    </row>
    <row r="41" ht="15.75" customHeight="1">
      <c r="B41" s="15"/>
      <c r="D41" s="15"/>
    </row>
    <row r="42" ht="15.75" customHeight="1">
      <c r="B42" s="15"/>
      <c r="D42" s="15"/>
    </row>
    <row r="43" ht="15.75" customHeight="1">
      <c r="B43" s="15"/>
      <c r="D43" s="15"/>
    </row>
    <row r="44" ht="15.75" customHeight="1">
      <c r="B44" s="15"/>
      <c r="D44" s="15"/>
    </row>
    <row r="45" ht="15.75" customHeight="1">
      <c r="B45" s="15"/>
      <c r="D45" s="15"/>
    </row>
    <row r="46" ht="15.75" customHeight="1">
      <c r="B46" s="15"/>
      <c r="D46" s="15"/>
    </row>
    <row r="47" ht="15.75" customHeight="1">
      <c r="B47" s="15"/>
      <c r="D47" s="15"/>
    </row>
    <row r="48" ht="15.75" customHeight="1">
      <c r="B48" s="15"/>
      <c r="D48" s="15"/>
    </row>
    <row r="49" ht="15.75" customHeight="1">
      <c r="B49" s="15"/>
      <c r="D49" s="15"/>
    </row>
    <row r="50" ht="15.75" customHeight="1">
      <c r="B50" s="15"/>
      <c r="D50" s="15"/>
    </row>
    <row r="51" ht="15.75" customHeight="1">
      <c r="B51" s="15"/>
      <c r="D51" s="15"/>
    </row>
    <row r="52" ht="15.75" customHeight="1">
      <c r="B52" s="15"/>
      <c r="D52" s="15"/>
    </row>
    <row r="53" ht="15.75" customHeight="1">
      <c r="B53" s="15"/>
      <c r="D53" s="15"/>
    </row>
    <row r="54" ht="15.75" customHeight="1">
      <c r="B54" s="15"/>
      <c r="D54" s="15"/>
    </row>
    <row r="55" ht="15.75" customHeight="1">
      <c r="B55" s="15"/>
      <c r="D55" s="15"/>
    </row>
    <row r="56" ht="15.75" customHeight="1">
      <c r="B56" s="15"/>
      <c r="D56" s="15"/>
    </row>
    <row r="57" ht="15.75" customHeight="1">
      <c r="B57" s="15"/>
      <c r="D57" s="15"/>
    </row>
    <row r="58" ht="15.75" customHeight="1">
      <c r="B58" s="15"/>
      <c r="D58" s="15"/>
    </row>
    <row r="59" ht="15.75" customHeight="1">
      <c r="B59" s="15"/>
      <c r="D59" s="15"/>
    </row>
    <row r="60" ht="15.75" customHeight="1">
      <c r="B60" s="15"/>
      <c r="D60" s="15"/>
    </row>
    <row r="61" ht="15.75" customHeight="1">
      <c r="B61" s="15"/>
      <c r="D61" s="15"/>
    </row>
    <row r="62" ht="15.75" customHeight="1">
      <c r="B62" s="15"/>
      <c r="D62" s="15"/>
    </row>
    <row r="63" ht="15.75" customHeight="1">
      <c r="B63" s="15"/>
      <c r="D63" s="15"/>
    </row>
    <row r="64" ht="15.75" customHeight="1">
      <c r="B64" s="15"/>
      <c r="D64" s="15"/>
    </row>
    <row r="65" ht="15.75" customHeight="1">
      <c r="B65" s="15"/>
      <c r="D65" s="15"/>
    </row>
    <row r="66" ht="15.75" customHeight="1">
      <c r="B66" s="15"/>
      <c r="D66" s="15"/>
    </row>
    <row r="67" ht="15.75" customHeight="1">
      <c r="B67" s="15"/>
      <c r="D67" s="15"/>
    </row>
    <row r="68" ht="15.75" customHeight="1">
      <c r="B68" s="15"/>
      <c r="D68" s="15"/>
    </row>
    <row r="69" ht="15.75" customHeight="1">
      <c r="B69" s="15"/>
      <c r="D69" s="15"/>
    </row>
    <row r="70" ht="15.75" customHeight="1">
      <c r="B70" s="15"/>
      <c r="D70" s="15"/>
    </row>
    <row r="71" ht="15.75" customHeight="1">
      <c r="B71" s="15"/>
      <c r="D71" s="15"/>
    </row>
    <row r="72" ht="15.75" customHeight="1">
      <c r="B72" s="15"/>
      <c r="D72" s="15"/>
    </row>
    <row r="73" ht="15.75" customHeight="1">
      <c r="B73" s="15"/>
      <c r="D73" s="15"/>
    </row>
    <row r="74" ht="15.75" customHeight="1">
      <c r="B74" s="15"/>
      <c r="D74" s="15"/>
    </row>
    <row r="75" ht="15.75" customHeight="1">
      <c r="B75" s="15"/>
      <c r="D75" s="15"/>
    </row>
    <row r="76" ht="15.75" customHeight="1">
      <c r="B76" s="15"/>
      <c r="D76" s="15"/>
    </row>
    <row r="77" ht="15.75" customHeight="1">
      <c r="B77" s="15"/>
      <c r="D77" s="15"/>
    </row>
    <row r="78" ht="15.75" customHeight="1">
      <c r="B78" s="15"/>
      <c r="D78" s="15"/>
    </row>
    <row r="79" ht="15.75" customHeight="1">
      <c r="B79" s="15"/>
      <c r="D79" s="15"/>
    </row>
    <row r="80" ht="15.75" customHeight="1">
      <c r="B80" s="15"/>
      <c r="D80" s="15"/>
    </row>
    <row r="81" ht="15.75" customHeight="1">
      <c r="B81" s="15"/>
      <c r="D81" s="15"/>
    </row>
    <row r="82" ht="15.75" customHeight="1">
      <c r="B82" s="15"/>
      <c r="D82" s="15"/>
    </row>
    <row r="83" ht="15.75" customHeight="1">
      <c r="B83" s="15"/>
      <c r="D83" s="15"/>
    </row>
    <row r="84" ht="15.75" customHeight="1">
      <c r="B84" s="15"/>
      <c r="D84" s="15"/>
    </row>
    <row r="85" ht="15.75" customHeight="1">
      <c r="B85" s="15"/>
      <c r="D85" s="15"/>
    </row>
    <row r="86" ht="15.75" customHeight="1">
      <c r="B86" s="15"/>
      <c r="D86" s="15"/>
    </row>
    <row r="87" ht="15.75" customHeight="1">
      <c r="B87" s="15"/>
      <c r="D87" s="15"/>
    </row>
    <row r="88" ht="15.75" customHeight="1">
      <c r="B88" s="15"/>
      <c r="D88" s="15"/>
    </row>
    <row r="89" ht="15.75" customHeight="1">
      <c r="B89" s="15"/>
      <c r="D89" s="15"/>
    </row>
    <row r="90" ht="15.75" customHeight="1">
      <c r="B90" s="15"/>
      <c r="D90" s="15"/>
    </row>
    <row r="91" ht="15.75" customHeight="1">
      <c r="B91" s="15"/>
      <c r="D91" s="15"/>
    </row>
    <row r="92" ht="15.75" customHeight="1">
      <c r="B92" s="15"/>
      <c r="D92" s="15"/>
    </row>
    <row r="93" ht="15.75" customHeight="1">
      <c r="B93" s="15"/>
      <c r="D93" s="15"/>
    </row>
    <row r="94" ht="15.75" customHeight="1">
      <c r="B94" s="15"/>
      <c r="D94" s="15"/>
    </row>
    <row r="95" ht="15.75" customHeight="1">
      <c r="B95" s="15"/>
      <c r="D95" s="15"/>
    </row>
    <row r="96" ht="15.75" customHeight="1">
      <c r="B96" s="15"/>
      <c r="D96" s="15"/>
    </row>
    <row r="97" ht="15.75" customHeight="1">
      <c r="B97" s="15"/>
      <c r="D97" s="15"/>
    </row>
    <row r="98" ht="15.75" customHeight="1">
      <c r="B98" s="15"/>
      <c r="D98" s="15"/>
    </row>
    <row r="99" ht="15.75" customHeight="1">
      <c r="B99" s="15"/>
      <c r="D99" s="15"/>
    </row>
    <row r="100" ht="15.75" customHeight="1">
      <c r="B100" s="15"/>
      <c r="D100" s="15"/>
    </row>
    <row r="101" ht="15.75" customHeight="1">
      <c r="B101" s="15"/>
      <c r="D101" s="15"/>
    </row>
    <row r="102" ht="15.75" customHeight="1">
      <c r="B102" s="15"/>
      <c r="D102" s="15"/>
    </row>
    <row r="103" ht="15.75" customHeight="1">
      <c r="B103" s="15"/>
      <c r="D103" s="15"/>
    </row>
    <row r="104" ht="15.75" customHeight="1">
      <c r="B104" s="15"/>
      <c r="D104" s="15"/>
    </row>
    <row r="105" ht="15.75" customHeight="1">
      <c r="B105" s="15"/>
      <c r="D105" s="15"/>
    </row>
    <row r="106" ht="15.75" customHeight="1">
      <c r="B106" s="15"/>
      <c r="D106" s="15"/>
    </row>
    <row r="107" ht="15.75" customHeight="1">
      <c r="B107" s="15"/>
      <c r="D107" s="15"/>
    </row>
    <row r="108" ht="15.75" customHeight="1">
      <c r="B108" s="15"/>
      <c r="D108" s="15"/>
    </row>
    <row r="109" ht="15.75" customHeight="1">
      <c r="B109" s="15"/>
      <c r="D109" s="15"/>
    </row>
    <row r="110" ht="15.75" customHeight="1">
      <c r="B110" s="15"/>
      <c r="D110" s="15"/>
    </row>
    <row r="111" ht="15.75" customHeight="1">
      <c r="B111" s="15"/>
      <c r="D111" s="15"/>
    </row>
    <row r="112" ht="15.75" customHeight="1">
      <c r="B112" s="15"/>
      <c r="D112" s="15"/>
    </row>
    <row r="113" ht="15.75" customHeight="1">
      <c r="B113" s="15"/>
      <c r="D113" s="15"/>
    </row>
    <row r="114" ht="15.75" customHeight="1">
      <c r="B114" s="15"/>
      <c r="D114" s="15"/>
    </row>
    <row r="115" ht="15.75" customHeight="1">
      <c r="B115" s="15"/>
      <c r="D115" s="15"/>
    </row>
    <row r="116" ht="15.75" customHeight="1">
      <c r="B116" s="15"/>
      <c r="D116" s="15"/>
    </row>
    <row r="117" ht="15.75" customHeight="1">
      <c r="B117" s="15"/>
      <c r="D117" s="15"/>
    </row>
    <row r="118" ht="15.75" customHeight="1">
      <c r="B118" s="15"/>
      <c r="D118" s="15"/>
    </row>
    <row r="119" ht="15.75" customHeight="1">
      <c r="B119" s="15"/>
      <c r="D119" s="15"/>
    </row>
    <row r="120" ht="15.75" customHeight="1">
      <c r="B120" s="15"/>
      <c r="D120" s="15"/>
    </row>
    <row r="121" ht="15.75" customHeight="1">
      <c r="B121" s="15"/>
      <c r="D121" s="15"/>
    </row>
    <row r="122" ht="15.75" customHeight="1">
      <c r="B122" s="15"/>
      <c r="D122" s="15"/>
    </row>
    <row r="123" ht="15.75" customHeight="1">
      <c r="B123" s="15"/>
      <c r="D123" s="15"/>
    </row>
    <row r="124" ht="15.75" customHeight="1">
      <c r="B124" s="15"/>
      <c r="D124" s="15"/>
    </row>
    <row r="125" ht="15.75" customHeight="1">
      <c r="B125" s="15"/>
      <c r="D125" s="15"/>
    </row>
    <row r="126" ht="15.75" customHeight="1">
      <c r="B126" s="15"/>
      <c r="D126" s="15"/>
    </row>
    <row r="127" ht="15.75" customHeight="1">
      <c r="B127" s="15"/>
      <c r="D127" s="15"/>
    </row>
    <row r="128" ht="15.75" customHeight="1">
      <c r="B128" s="15"/>
      <c r="D128" s="15"/>
    </row>
    <row r="129" ht="15.75" customHeight="1">
      <c r="B129" s="15"/>
      <c r="D129" s="15"/>
    </row>
    <row r="130" ht="15.75" customHeight="1">
      <c r="B130" s="15"/>
      <c r="D130" s="15"/>
    </row>
    <row r="131" ht="15.75" customHeight="1">
      <c r="B131" s="15"/>
      <c r="D131" s="15"/>
    </row>
    <row r="132" ht="15.75" customHeight="1">
      <c r="B132" s="15"/>
      <c r="D132" s="15"/>
    </row>
    <row r="133" ht="15.75" customHeight="1">
      <c r="B133" s="15"/>
      <c r="D133" s="15"/>
    </row>
    <row r="134" ht="15.75" customHeight="1">
      <c r="B134" s="15"/>
      <c r="D134" s="15"/>
    </row>
    <row r="135" ht="15.75" customHeight="1">
      <c r="B135" s="15"/>
      <c r="D135" s="15"/>
    </row>
    <row r="136" ht="15.75" customHeight="1">
      <c r="B136" s="15"/>
      <c r="D136" s="15"/>
    </row>
    <row r="137" ht="15.75" customHeight="1">
      <c r="B137" s="15"/>
      <c r="D137" s="15"/>
    </row>
    <row r="138" ht="15.75" customHeight="1">
      <c r="B138" s="15"/>
      <c r="D138" s="15"/>
    </row>
    <row r="139" ht="15.75" customHeight="1">
      <c r="B139" s="15"/>
      <c r="D139" s="15"/>
    </row>
    <row r="140" ht="15.75" customHeight="1">
      <c r="B140" s="15"/>
      <c r="D140" s="15"/>
    </row>
    <row r="141" ht="15.75" customHeight="1">
      <c r="B141" s="15"/>
      <c r="D141" s="15"/>
    </row>
    <row r="142" ht="15.75" customHeight="1">
      <c r="B142" s="15"/>
      <c r="D142" s="15"/>
    </row>
    <row r="143" ht="15.75" customHeight="1">
      <c r="B143" s="15"/>
      <c r="D143" s="15"/>
    </row>
    <row r="144" ht="15.75" customHeight="1">
      <c r="B144" s="15"/>
      <c r="D144" s="15"/>
    </row>
    <row r="145" ht="15.75" customHeight="1">
      <c r="B145" s="15"/>
      <c r="D145" s="15"/>
    </row>
    <row r="146" ht="15.75" customHeight="1">
      <c r="B146" s="15"/>
      <c r="D146" s="15"/>
    </row>
    <row r="147" ht="15.75" customHeight="1">
      <c r="B147" s="15"/>
      <c r="D147" s="15"/>
    </row>
    <row r="148" ht="15.75" customHeight="1">
      <c r="B148" s="15"/>
      <c r="D148" s="15"/>
    </row>
    <row r="149" ht="15.75" customHeight="1">
      <c r="B149" s="15"/>
      <c r="D149" s="15"/>
    </row>
    <row r="150" ht="15.75" customHeight="1">
      <c r="B150" s="15"/>
      <c r="D150" s="15"/>
    </row>
    <row r="151" ht="15.75" customHeight="1">
      <c r="B151" s="15"/>
      <c r="D151" s="15"/>
    </row>
    <row r="152" ht="15.75" customHeight="1">
      <c r="B152" s="15"/>
      <c r="D152" s="15"/>
    </row>
    <row r="153" ht="15.75" customHeight="1">
      <c r="B153" s="15"/>
      <c r="D153" s="15"/>
    </row>
    <row r="154" ht="15.75" customHeight="1">
      <c r="B154" s="15"/>
      <c r="D154" s="15"/>
    </row>
    <row r="155" ht="15.75" customHeight="1">
      <c r="B155" s="15"/>
      <c r="D155" s="15"/>
    </row>
    <row r="156" ht="15.75" customHeight="1">
      <c r="B156" s="15"/>
      <c r="D156" s="15"/>
    </row>
    <row r="157" ht="15.75" customHeight="1">
      <c r="B157" s="15"/>
      <c r="D157" s="15"/>
    </row>
    <row r="158" ht="15.75" customHeight="1">
      <c r="B158" s="15"/>
      <c r="D158" s="15"/>
    </row>
    <row r="159" ht="15.75" customHeight="1">
      <c r="B159" s="15"/>
      <c r="D159" s="15"/>
    </row>
    <row r="160" ht="15.75" customHeight="1">
      <c r="B160" s="15"/>
      <c r="D160" s="15"/>
    </row>
    <row r="161" ht="15.75" customHeight="1">
      <c r="B161" s="15"/>
      <c r="D161" s="15"/>
    </row>
    <row r="162" ht="15.75" customHeight="1">
      <c r="B162" s="15"/>
      <c r="D162" s="15"/>
    </row>
    <row r="163" ht="15.75" customHeight="1">
      <c r="B163" s="15"/>
      <c r="D163" s="15"/>
    </row>
    <row r="164" ht="15.75" customHeight="1">
      <c r="B164" s="15"/>
      <c r="D164" s="15"/>
    </row>
    <row r="165" ht="15.75" customHeight="1">
      <c r="B165" s="15"/>
      <c r="D165" s="15"/>
    </row>
    <row r="166" ht="15.75" customHeight="1">
      <c r="B166" s="15"/>
      <c r="D166" s="15"/>
    </row>
    <row r="167" ht="15.75" customHeight="1">
      <c r="B167" s="15"/>
      <c r="D167" s="15"/>
    </row>
    <row r="168" ht="15.75" customHeight="1">
      <c r="B168" s="15"/>
      <c r="D168" s="15"/>
    </row>
    <row r="169" ht="15.75" customHeight="1">
      <c r="B169" s="15"/>
      <c r="D169" s="15"/>
    </row>
    <row r="170" ht="15.75" customHeight="1">
      <c r="B170" s="15"/>
      <c r="D170" s="15"/>
    </row>
    <row r="171" ht="15.75" customHeight="1">
      <c r="B171" s="15"/>
      <c r="D171" s="15"/>
    </row>
    <row r="172" ht="15.75" customHeight="1">
      <c r="B172" s="15"/>
      <c r="D172" s="15"/>
    </row>
    <row r="173" ht="15.75" customHeight="1">
      <c r="B173" s="15"/>
      <c r="D173" s="15"/>
    </row>
    <row r="174" ht="15.75" customHeight="1">
      <c r="B174" s="15"/>
      <c r="D174" s="15"/>
    </row>
    <row r="175" ht="15.75" customHeight="1">
      <c r="B175" s="15"/>
      <c r="D175" s="15"/>
    </row>
    <row r="176" ht="15.75" customHeight="1">
      <c r="B176" s="15"/>
      <c r="D176" s="15"/>
    </row>
    <row r="177" ht="15.75" customHeight="1">
      <c r="B177" s="15"/>
      <c r="D177" s="15"/>
    </row>
    <row r="178" ht="15.75" customHeight="1">
      <c r="B178" s="15"/>
      <c r="D178" s="15"/>
    </row>
    <row r="179" ht="15.75" customHeight="1">
      <c r="B179" s="15"/>
      <c r="D179" s="15"/>
    </row>
    <row r="180" ht="15.75" customHeight="1">
      <c r="B180" s="15"/>
      <c r="D180" s="15"/>
    </row>
    <row r="181" ht="15.75" customHeight="1">
      <c r="B181" s="15"/>
      <c r="D181" s="15"/>
    </row>
    <row r="182" ht="15.75" customHeight="1">
      <c r="B182" s="15"/>
      <c r="D182" s="15"/>
    </row>
    <row r="183" ht="15.75" customHeight="1">
      <c r="B183" s="15"/>
      <c r="D183" s="15"/>
    </row>
    <row r="184" ht="15.75" customHeight="1">
      <c r="B184" s="15"/>
      <c r="D184" s="15"/>
    </row>
    <row r="185" ht="15.75" customHeight="1">
      <c r="B185" s="15"/>
      <c r="D185" s="15"/>
    </row>
    <row r="186" ht="15.75" customHeight="1">
      <c r="B186" s="15"/>
      <c r="D186" s="15"/>
    </row>
    <row r="187" ht="15.75" customHeight="1">
      <c r="B187" s="15"/>
      <c r="D187" s="15"/>
    </row>
    <row r="188" ht="15.75" customHeight="1">
      <c r="B188" s="15"/>
      <c r="D188" s="15"/>
    </row>
    <row r="189" ht="15.75" customHeight="1">
      <c r="B189" s="15"/>
      <c r="D189" s="15"/>
    </row>
    <row r="190" ht="15.75" customHeight="1">
      <c r="B190" s="15"/>
      <c r="D190" s="15"/>
    </row>
    <row r="191" ht="15.75" customHeight="1">
      <c r="B191" s="15"/>
      <c r="D191" s="15"/>
    </row>
    <row r="192" ht="15.75" customHeight="1">
      <c r="B192" s="15"/>
      <c r="D192" s="15"/>
    </row>
    <row r="193" ht="15.75" customHeight="1">
      <c r="B193" s="15"/>
      <c r="D193" s="15"/>
    </row>
    <row r="194" ht="15.75" customHeight="1">
      <c r="B194" s="15"/>
      <c r="D194" s="15"/>
    </row>
    <row r="195" ht="15.75" customHeight="1">
      <c r="B195" s="15"/>
      <c r="D195" s="15"/>
    </row>
    <row r="196" ht="15.75" customHeight="1">
      <c r="B196" s="15"/>
      <c r="D196" s="15"/>
    </row>
    <row r="197" ht="15.75" customHeight="1">
      <c r="B197" s="15"/>
      <c r="D197" s="15"/>
    </row>
    <row r="198" ht="15.75" customHeight="1">
      <c r="B198" s="15"/>
      <c r="D198" s="15"/>
    </row>
    <row r="199" ht="15.75" customHeight="1">
      <c r="B199" s="15"/>
      <c r="D199" s="15"/>
    </row>
    <row r="200" ht="15.75" customHeight="1">
      <c r="B200" s="15"/>
      <c r="D200" s="15"/>
    </row>
    <row r="201" ht="15.75" customHeight="1">
      <c r="B201" s="15"/>
      <c r="D201" s="15"/>
    </row>
    <row r="202" ht="15.75" customHeight="1">
      <c r="B202" s="15"/>
      <c r="D202" s="15"/>
    </row>
    <row r="203" ht="15.75" customHeight="1">
      <c r="B203" s="15"/>
      <c r="D203" s="15"/>
    </row>
    <row r="204" ht="15.75" customHeight="1">
      <c r="B204" s="15"/>
      <c r="D204" s="15"/>
    </row>
    <row r="205" ht="15.75" customHeight="1">
      <c r="B205" s="15"/>
      <c r="D205" s="15"/>
    </row>
    <row r="206" ht="15.75" customHeight="1">
      <c r="B206" s="15"/>
      <c r="D206" s="15"/>
    </row>
    <row r="207" ht="15.75" customHeight="1">
      <c r="B207" s="15"/>
      <c r="D207" s="15"/>
    </row>
    <row r="208" ht="15.75" customHeight="1">
      <c r="B208" s="15"/>
      <c r="D208" s="15"/>
    </row>
    <row r="209" ht="15.75" customHeight="1">
      <c r="B209" s="15"/>
      <c r="D209" s="15"/>
    </row>
    <row r="210" ht="15.75" customHeight="1">
      <c r="B210" s="15"/>
      <c r="D210" s="15"/>
    </row>
    <row r="211" ht="15.75" customHeight="1">
      <c r="B211" s="15"/>
      <c r="D211" s="15"/>
    </row>
    <row r="212" ht="15.75" customHeight="1">
      <c r="B212" s="15"/>
      <c r="D212" s="15"/>
    </row>
    <row r="213" ht="15.75" customHeight="1">
      <c r="B213" s="15"/>
      <c r="D213" s="15"/>
    </row>
    <row r="214" ht="15.75" customHeight="1">
      <c r="B214" s="15"/>
      <c r="D214" s="15"/>
    </row>
    <row r="215" ht="15.75" customHeight="1">
      <c r="B215" s="15"/>
      <c r="D215" s="15"/>
    </row>
    <row r="216" ht="15.75" customHeight="1">
      <c r="B216" s="15"/>
      <c r="D216" s="15"/>
    </row>
    <row r="217" ht="15.75" customHeight="1">
      <c r="B217" s="15"/>
      <c r="D217" s="15"/>
    </row>
    <row r="218" ht="15.75" customHeight="1">
      <c r="B218" s="15"/>
      <c r="D218" s="15"/>
    </row>
    <row r="219" ht="15.75" customHeight="1">
      <c r="B219" s="15"/>
      <c r="D219" s="15"/>
    </row>
    <row r="220" ht="15.75" customHeight="1">
      <c r="B220" s="15"/>
      <c r="D220" s="15"/>
    </row>
    <row r="221" ht="15.75" customHeight="1">
      <c r="B221" s="15"/>
      <c r="D221" s="15"/>
    </row>
    <row r="222" ht="15.75" customHeight="1">
      <c r="B222" s="15"/>
      <c r="D222" s="15"/>
    </row>
    <row r="223" ht="15.75" customHeight="1">
      <c r="B223" s="15"/>
      <c r="D223" s="15"/>
    </row>
    <row r="224" ht="15.75" customHeight="1">
      <c r="B224" s="15"/>
      <c r="D224" s="15"/>
    </row>
    <row r="225" ht="15.75" customHeight="1">
      <c r="B225" s="15"/>
      <c r="D225" s="15"/>
    </row>
    <row r="226" ht="15.75" customHeight="1">
      <c r="B226" s="15"/>
      <c r="D226" s="15"/>
    </row>
    <row r="227" ht="15.75" customHeight="1">
      <c r="B227" s="15"/>
      <c r="D227" s="15"/>
    </row>
    <row r="228" ht="15.75" customHeight="1">
      <c r="B228" s="15"/>
      <c r="D228" s="15"/>
    </row>
    <row r="229" ht="15.75" customHeight="1">
      <c r="B229" s="15"/>
      <c r="D229" s="15"/>
    </row>
    <row r="230" ht="15.75" customHeight="1">
      <c r="B230" s="15"/>
      <c r="D230" s="15"/>
    </row>
    <row r="231" ht="15.75" customHeight="1">
      <c r="B231" s="15"/>
      <c r="D231" s="15"/>
    </row>
    <row r="232" ht="15.75" customHeight="1">
      <c r="B232" s="15"/>
      <c r="D232" s="15"/>
    </row>
    <row r="233" ht="15.75" customHeight="1">
      <c r="B233" s="15"/>
      <c r="D233" s="15"/>
    </row>
    <row r="234" ht="15.75" customHeight="1">
      <c r="B234" s="15"/>
      <c r="D234" s="15"/>
    </row>
    <row r="235" ht="15.75" customHeight="1">
      <c r="B235" s="15"/>
      <c r="D235" s="15"/>
    </row>
    <row r="236" ht="15.75" customHeight="1">
      <c r="B236" s="15"/>
      <c r="D236" s="15"/>
    </row>
    <row r="237" ht="15.75" customHeight="1">
      <c r="B237" s="15"/>
      <c r="D237" s="15"/>
    </row>
    <row r="238" ht="15.75" customHeight="1">
      <c r="B238" s="15"/>
      <c r="D238" s="15"/>
    </row>
    <row r="239" ht="15.75" customHeight="1">
      <c r="B239" s="15"/>
      <c r="D239" s="15"/>
    </row>
    <row r="240" ht="15.75" customHeight="1">
      <c r="B240" s="15"/>
      <c r="D240" s="15"/>
    </row>
    <row r="241" ht="15.75" customHeight="1">
      <c r="B241" s="15"/>
      <c r="D241" s="15"/>
    </row>
    <row r="242" ht="15.75" customHeight="1">
      <c r="B242" s="15"/>
      <c r="D242" s="15"/>
    </row>
    <row r="243" ht="15.75" customHeight="1">
      <c r="B243" s="15"/>
      <c r="D243" s="15"/>
    </row>
    <row r="244" ht="15.75" customHeight="1">
      <c r="B244" s="15"/>
      <c r="D244" s="15"/>
    </row>
    <row r="245" ht="15.75" customHeight="1">
      <c r="B245" s="15"/>
      <c r="D245" s="15"/>
    </row>
    <row r="246" ht="15.75" customHeight="1">
      <c r="B246" s="15"/>
      <c r="D246" s="15"/>
    </row>
    <row r="247" ht="15.75" customHeight="1">
      <c r="B247" s="15"/>
      <c r="D247" s="15"/>
    </row>
    <row r="248" ht="15.75" customHeight="1">
      <c r="B248" s="15"/>
      <c r="D248" s="15"/>
    </row>
    <row r="249" ht="15.75" customHeight="1">
      <c r="B249" s="15"/>
      <c r="D249" s="15"/>
    </row>
    <row r="250" ht="15.75" customHeight="1">
      <c r="B250" s="15"/>
      <c r="D250" s="15"/>
    </row>
    <row r="251" ht="15.75" customHeight="1">
      <c r="B251" s="15"/>
      <c r="D251" s="15"/>
    </row>
    <row r="252" ht="15.75" customHeight="1">
      <c r="B252" s="15"/>
      <c r="D252" s="15"/>
    </row>
    <row r="253" ht="15.75" customHeight="1">
      <c r="B253" s="15"/>
      <c r="D253" s="15"/>
    </row>
    <row r="254" ht="15.75" customHeight="1">
      <c r="B254" s="15"/>
      <c r="D254" s="15"/>
    </row>
    <row r="255" ht="15.75" customHeight="1">
      <c r="B255" s="15"/>
      <c r="D255" s="15"/>
    </row>
    <row r="256" ht="15.75" customHeight="1">
      <c r="B256" s="15"/>
      <c r="D256" s="15"/>
    </row>
    <row r="257" ht="15.75" customHeight="1">
      <c r="B257" s="15"/>
      <c r="D257" s="15"/>
    </row>
    <row r="258" ht="15.75" customHeight="1">
      <c r="B258" s="15"/>
      <c r="D258" s="15"/>
    </row>
    <row r="259" ht="15.75" customHeight="1">
      <c r="B259" s="15"/>
      <c r="D259" s="15"/>
    </row>
    <row r="260" ht="15.75" customHeight="1">
      <c r="B260" s="15"/>
      <c r="D260" s="15"/>
    </row>
    <row r="261" ht="15.75" customHeight="1">
      <c r="B261" s="15"/>
      <c r="D261" s="15"/>
    </row>
    <row r="262" ht="15.75" customHeight="1">
      <c r="B262" s="15"/>
      <c r="D262" s="15"/>
    </row>
    <row r="263" ht="15.75" customHeight="1">
      <c r="B263" s="15"/>
      <c r="D263" s="15"/>
    </row>
    <row r="264" ht="15.75" customHeight="1">
      <c r="B264" s="15"/>
      <c r="D264" s="15"/>
    </row>
    <row r="265" ht="15.75" customHeight="1">
      <c r="B265" s="15"/>
      <c r="D265" s="15"/>
    </row>
    <row r="266" ht="15.75" customHeight="1">
      <c r="B266" s="15"/>
      <c r="D266" s="15"/>
    </row>
    <row r="267" ht="15.75" customHeight="1">
      <c r="B267" s="15"/>
      <c r="D267" s="15"/>
    </row>
    <row r="268" ht="15.75" customHeight="1">
      <c r="B268" s="15"/>
      <c r="D268" s="15"/>
    </row>
    <row r="269" ht="15.75" customHeight="1">
      <c r="B269" s="15"/>
      <c r="D269" s="15"/>
    </row>
    <row r="270" ht="15.75" customHeight="1">
      <c r="B270" s="15"/>
      <c r="D270" s="15"/>
    </row>
    <row r="271" ht="15.75" customHeight="1">
      <c r="B271" s="15"/>
      <c r="D271" s="15"/>
    </row>
    <row r="272" ht="15.75" customHeight="1">
      <c r="B272" s="15"/>
      <c r="D272" s="15"/>
    </row>
    <row r="273" ht="15.75" customHeight="1">
      <c r="B273" s="15"/>
      <c r="D273" s="15"/>
    </row>
    <row r="274" ht="15.75" customHeight="1">
      <c r="B274" s="15"/>
      <c r="D274" s="15"/>
    </row>
    <row r="275" ht="15.75" customHeight="1">
      <c r="B275" s="15"/>
      <c r="D275" s="15"/>
    </row>
    <row r="276" ht="15.75" customHeight="1">
      <c r="B276" s="15"/>
      <c r="D276" s="15"/>
    </row>
    <row r="277" ht="15.75" customHeight="1">
      <c r="B277" s="15"/>
      <c r="D277" s="15"/>
    </row>
    <row r="278" ht="15.75" customHeight="1">
      <c r="B278" s="15"/>
      <c r="D278" s="15"/>
    </row>
    <row r="279" ht="15.75" customHeight="1">
      <c r="B279" s="15"/>
      <c r="D279" s="15"/>
    </row>
    <row r="280" ht="15.75" customHeight="1">
      <c r="B280" s="15"/>
      <c r="D280" s="15"/>
    </row>
    <row r="281" ht="15.75" customHeight="1">
      <c r="B281" s="15"/>
      <c r="D281" s="15"/>
    </row>
    <row r="282" ht="15.75" customHeight="1">
      <c r="B282" s="15"/>
      <c r="D282" s="15"/>
    </row>
    <row r="283" ht="15.75" customHeight="1">
      <c r="B283" s="15"/>
      <c r="D283" s="15"/>
    </row>
    <row r="284" ht="15.75" customHeight="1">
      <c r="B284" s="15"/>
      <c r="D284" s="15"/>
    </row>
    <row r="285" ht="15.75" customHeight="1">
      <c r="B285" s="15"/>
      <c r="D285" s="15"/>
    </row>
    <row r="286" ht="15.75" customHeight="1">
      <c r="B286" s="15"/>
      <c r="D286" s="15"/>
    </row>
    <row r="287" ht="15.75" customHeight="1">
      <c r="B287" s="15"/>
      <c r="D287" s="15"/>
    </row>
    <row r="288" ht="15.75" customHeight="1">
      <c r="B288" s="15"/>
      <c r="D288" s="15"/>
    </row>
    <row r="289" ht="15.75" customHeight="1">
      <c r="B289" s="15"/>
      <c r="D289" s="15"/>
    </row>
    <row r="290" ht="15.75" customHeight="1">
      <c r="B290" s="15"/>
      <c r="D290" s="15"/>
    </row>
    <row r="291" ht="15.75" customHeight="1">
      <c r="B291" s="15"/>
      <c r="D291" s="15"/>
    </row>
    <row r="292" ht="15.75" customHeight="1">
      <c r="B292" s="15"/>
      <c r="D292" s="15"/>
    </row>
    <row r="293" ht="15.75" customHeight="1">
      <c r="B293" s="15"/>
      <c r="D293" s="15"/>
    </row>
    <row r="294" ht="15.75" customHeight="1">
      <c r="B294" s="15"/>
      <c r="D294" s="15"/>
    </row>
    <row r="295" ht="15.75" customHeight="1">
      <c r="B295" s="15"/>
      <c r="D295" s="15"/>
    </row>
    <row r="296" ht="15.75" customHeight="1">
      <c r="B296" s="15"/>
      <c r="D296" s="15"/>
    </row>
    <row r="297" ht="15.75" customHeight="1">
      <c r="B297" s="15"/>
      <c r="D297" s="15"/>
    </row>
    <row r="298" ht="15.75" customHeight="1">
      <c r="B298" s="15"/>
      <c r="D298" s="15"/>
    </row>
    <row r="299" ht="15.75" customHeight="1">
      <c r="B299" s="15"/>
      <c r="D299" s="15"/>
    </row>
    <row r="300" ht="15.75" customHeight="1">
      <c r="B300" s="15"/>
      <c r="D300" s="15"/>
    </row>
    <row r="301" ht="15.75" customHeight="1">
      <c r="B301" s="15"/>
      <c r="D301" s="15"/>
    </row>
    <row r="302" ht="15.75" customHeight="1">
      <c r="B302" s="15"/>
      <c r="D302" s="15"/>
    </row>
    <row r="303" ht="15.75" customHeight="1">
      <c r="B303" s="15"/>
      <c r="D303" s="15"/>
    </row>
    <row r="304" ht="15.75" customHeight="1">
      <c r="B304" s="15"/>
      <c r="D304" s="15"/>
    </row>
    <row r="305" ht="15.75" customHeight="1">
      <c r="B305" s="15"/>
      <c r="D305" s="15"/>
    </row>
    <row r="306" ht="15.75" customHeight="1">
      <c r="B306" s="15"/>
      <c r="D306" s="15"/>
    </row>
    <row r="307" ht="15.75" customHeight="1">
      <c r="B307" s="15"/>
      <c r="D307" s="15"/>
    </row>
    <row r="308" ht="15.75" customHeight="1">
      <c r="B308" s="15"/>
      <c r="D308" s="15"/>
    </row>
    <row r="309" ht="15.75" customHeight="1">
      <c r="B309" s="15"/>
      <c r="D309" s="15"/>
    </row>
    <row r="310" ht="15.75" customHeight="1">
      <c r="B310" s="15"/>
      <c r="D310" s="15"/>
    </row>
    <row r="311" ht="15.75" customHeight="1">
      <c r="B311" s="15"/>
      <c r="D311" s="15"/>
    </row>
    <row r="312" ht="15.75" customHeight="1">
      <c r="B312" s="15"/>
      <c r="D312" s="15"/>
    </row>
    <row r="313" ht="15.75" customHeight="1">
      <c r="B313" s="15"/>
      <c r="D313" s="15"/>
    </row>
    <row r="314" ht="15.75" customHeight="1">
      <c r="B314" s="15"/>
      <c r="D314" s="15"/>
    </row>
    <row r="315" ht="15.75" customHeight="1">
      <c r="B315" s="15"/>
      <c r="D315" s="15"/>
    </row>
    <row r="316" ht="15.75" customHeight="1">
      <c r="B316" s="15"/>
      <c r="D316" s="15"/>
    </row>
    <row r="317" ht="15.75" customHeight="1">
      <c r="B317" s="15"/>
      <c r="D317" s="15"/>
    </row>
    <row r="318" ht="15.75" customHeight="1">
      <c r="B318" s="15"/>
      <c r="D318" s="15"/>
    </row>
    <row r="319" ht="15.75" customHeight="1">
      <c r="B319" s="15"/>
      <c r="D319" s="15"/>
    </row>
    <row r="320" ht="15.75" customHeight="1">
      <c r="B320" s="15"/>
      <c r="D320" s="15"/>
    </row>
    <row r="321" ht="15.75" customHeight="1">
      <c r="B321" s="15"/>
      <c r="D321" s="15"/>
    </row>
    <row r="322" ht="15.75" customHeight="1">
      <c r="B322" s="15"/>
      <c r="D322" s="15"/>
    </row>
    <row r="323" ht="15.75" customHeight="1">
      <c r="B323" s="15"/>
      <c r="D323" s="15"/>
    </row>
    <row r="324" ht="15.75" customHeight="1">
      <c r="B324" s="15"/>
      <c r="D324" s="15"/>
    </row>
    <row r="325" ht="15.75" customHeight="1">
      <c r="B325" s="15"/>
      <c r="D325" s="15"/>
    </row>
    <row r="326" ht="15.75" customHeight="1">
      <c r="B326" s="15"/>
      <c r="D326" s="15"/>
    </row>
    <row r="327" ht="15.75" customHeight="1">
      <c r="B327" s="15"/>
      <c r="D327" s="15"/>
    </row>
    <row r="328" ht="15.75" customHeight="1">
      <c r="B328" s="15"/>
      <c r="D328" s="15"/>
    </row>
    <row r="329" ht="15.75" customHeight="1">
      <c r="B329" s="15"/>
      <c r="D329" s="15"/>
    </row>
    <row r="330" ht="15.75" customHeight="1">
      <c r="B330" s="15"/>
      <c r="D330" s="15"/>
    </row>
    <row r="331" ht="15.75" customHeight="1">
      <c r="B331" s="15"/>
      <c r="D331" s="15"/>
    </row>
    <row r="332" ht="15.75" customHeight="1">
      <c r="B332" s="15"/>
      <c r="D332" s="15"/>
    </row>
    <row r="333" ht="15.75" customHeight="1">
      <c r="B333" s="15"/>
      <c r="D333" s="15"/>
    </row>
    <row r="334" ht="15.75" customHeight="1">
      <c r="B334" s="15"/>
      <c r="D334" s="15"/>
    </row>
    <row r="335" ht="15.75" customHeight="1">
      <c r="B335" s="15"/>
      <c r="D335" s="15"/>
    </row>
    <row r="336" ht="15.75" customHeight="1">
      <c r="B336" s="15"/>
      <c r="D336" s="15"/>
    </row>
    <row r="337" ht="15.75" customHeight="1">
      <c r="B337" s="15"/>
      <c r="D337" s="15"/>
    </row>
    <row r="338" ht="15.75" customHeight="1">
      <c r="B338" s="15"/>
      <c r="D338" s="15"/>
    </row>
    <row r="339" ht="15.75" customHeight="1">
      <c r="B339" s="15"/>
      <c r="D339" s="15"/>
    </row>
    <row r="340" ht="15.75" customHeight="1">
      <c r="B340" s="15"/>
      <c r="D340" s="15"/>
    </row>
    <row r="341" ht="15.75" customHeight="1">
      <c r="B341" s="15"/>
      <c r="D341" s="15"/>
    </row>
    <row r="342" ht="15.75" customHeight="1">
      <c r="B342" s="15"/>
      <c r="D342" s="15"/>
    </row>
    <row r="343" ht="15.75" customHeight="1">
      <c r="B343" s="15"/>
      <c r="D343" s="15"/>
    </row>
    <row r="344" ht="15.75" customHeight="1">
      <c r="B344" s="15"/>
      <c r="D344" s="15"/>
    </row>
    <row r="345" ht="15.75" customHeight="1">
      <c r="B345" s="15"/>
      <c r="D345" s="15"/>
    </row>
    <row r="346" ht="15.75" customHeight="1">
      <c r="B346" s="15"/>
      <c r="D346" s="15"/>
    </row>
    <row r="347" ht="15.75" customHeight="1">
      <c r="B347" s="15"/>
      <c r="D347" s="15"/>
    </row>
    <row r="348" ht="15.75" customHeight="1">
      <c r="B348" s="15"/>
      <c r="D348" s="15"/>
    </row>
    <row r="349" ht="15.75" customHeight="1">
      <c r="B349" s="15"/>
      <c r="D349" s="15"/>
    </row>
    <row r="350" ht="15.75" customHeight="1">
      <c r="B350" s="15"/>
      <c r="D350" s="15"/>
    </row>
    <row r="351" ht="15.75" customHeight="1">
      <c r="B351" s="15"/>
      <c r="D351" s="15"/>
    </row>
    <row r="352" ht="15.75" customHeight="1">
      <c r="B352" s="15"/>
      <c r="D352" s="15"/>
    </row>
    <row r="353" ht="15.75" customHeight="1">
      <c r="B353" s="15"/>
      <c r="D353" s="15"/>
    </row>
    <row r="354" ht="15.75" customHeight="1">
      <c r="B354" s="15"/>
      <c r="D354" s="15"/>
    </row>
    <row r="355" ht="15.75" customHeight="1">
      <c r="B355" s="15"/>
      <c r="D355" s="15"/>
    </row>
    <row r="356" ht="15.75" customHeight="1">
      <c r="B356" s="15"/>
      <c r="D356" s="15"/>
    </row>
    <row r="357" ht="15.75" customHeight="1">
      <c r="B357" s="15"/>
      <c r="D357" s="15"/>
    </row>
    <row r="358" ht="15.75" customHeight="1">
      <c r="B358" s="15"/>
      <c r="D358" s="15"/>
    </row>
    <row r="359" ht="15.75" customHeight="1">
      <c r="B359" s="15"/>
      <c r="D359" s="15"/>
    </row>
    <row r="360" ht="15.75" customHeight="1">
      <c r="B360" s="15"/>
      <c r="D360" s="15"/>
    </row>
    <row r="361" ht="15.75" customHeight="1">
      <c r="B361" s="15"/>
      <c r="D361" s="15"/>
    </row>
    <row r="362" ht="15.75" customHeight="1">
      <c r="B362" s="15"/>
      <c r="D362" s="15"/>
    </row>
    <row r="363" ht="15.75" customHeight="1">
      <c r="B363" s="15"/>
      <c r="D363" s="15"/>
    </row>
    <row r="364" ht="15.75" customHeight="1">
      <c r="B364" s="15"/>
      <c r="D364" s="15"/>
    </row>
    <row r="365" ht="15.75" customHeight="1">
      <c r="B365" s="15"/>
      <c r="D365" s="15"/>
    </row>
    <row r="366" ht="15.75" customHeight="1">
      <c r="B366" s="15"/>
      <c r="D366" s="15"/>
    </row>
    <row r="367" ht="15.75" customHeight="1">
      <c r="B367" s="15"/>
      <c r="D367" s="15"/>
    </row>
    <row r="368" ht="15.75" customHeight="1">
      <c r="B368" s="15"/>
      <c r="D368" s="15"/>
    </row>
    <row r="369" ht="15.75" customHeight="1">
      <c r="B369" s="15"/>
      <c r="D369" s="15"/>
    </row>
    <row r="370" ht="15.75" customHeight="1">
      <c r="B370" s="15"/>
      <c r="D370" s="15"/>
    </row>
    <row r="371" ht="15.75" customHeight="1">
      <c r="B371" s="15"/>
      <c r="D371" s="15"/>
    </row>
    <row r="372" ht="15.75" customHeight="1">
      <c r="B372" s="15"/>
      <c r="D372" s="15"/>
    </row>
    <row r="373" ht="15.75" customHeight="1">
      <c r="B373" s="15"/>
      <c r="D373" s="15"/>
    </row>
    <row r="374" ht="15.75" customHeight="1">
      <c r="B374" s="15"/>
      <c r="D374" s="15"/>
    </row>
    <row r="375" ht="15.75" customHeight="1">
      <c r="B375" s="15"/>
      <c r="D375" s="15"/>
    </row>
    <row r="376" ht="15.75" customHeight="1">
      <c r="B376" s="15"/>
      <c r="D376" s="15"/>
    </row>
    <row r="377" ht="15.75" customHeight="1">
      <c r="B377" s="15"/>
      <c r="D377" s="15"/>
    </row>
    <row r="378" ht="15.75" customHeight="1">
      <c r="B378" s="15"/>
      <c r="D378" s="15"/>
    </row>
    <row r="379" ht="15.75" customHeight="1">
      <c r="B379" s="15"/>
      <c r="D379" s="15"/>
    </row>
    <row r="380" ht="15.75" customHeight="1">
      <c r="B380" s="15"/>
      <c r="D380" s="15"/>
    </row>
    <row r="381" ht="15.75" customHeight="1">
      <c r="B381" s="15"/>
      <c r="D381" s="15"/>
    </row>
    <row r="382" ht="15.75" customHeight="1">
      <c r="B382" s="15"/>
      <c r="D382" s="15"/>
    </row>
    <row r="383" ht="15.75" customHeight="1">
      <c r="B383" s="15"/>
      <c r="D383" s="15"/>
    </row>
    <row r="384" ht="15.75" customHeight="1">
      <c r="B384" s="15"/>
      <c r="D384" s="15"/>
    </row>
    <row r="385" ht="15.75" customHeight="1">
      <c r="B385" s="15"/>
      <c r="D385" s="15"/>
    </row>
    <row r="386" ht="15.75" customHeight="1">
      <c r="B386" s="15"/>
      <c r="D386" s="15"/>
    </row>
    <row r="387" ht="15.75" customHeight="1">
      <c r="B387" s="15"/>
      <c r="D387" s="15"/>
    </row>
    <row r="388" ht="15.75" customHeight="1">
      <c r="B388" s="15"/>
      <c r="D388" s="15"/>
    </row>
    <row r="389" ht="15.75" customHeight="1">
      <c r="B389" s="15"/>
      <c r="D389" s="15"/>
    </row>
    <row r="390" ht="15.75" customHeight="1">
      <c r="B390" s="15"/>
      <c r="D390" s="15"/>
    </row>
    <row r="391" ht="15.75" customHeight="1">
      <c r="B391" s="15"/>
      <c r="D391" s="15"/>
    </row>
    <row r="392" ht="15.75" customHeight="1">
      <c r="B392" s="15"/>
      <c r="D392" s="15"/>
    </row>
    <row r="393" ht="15.75" customHeight="1">
      <c r="B393" s="15"/>
      <c r="D393" s="15"/>
    </row>
    <row r="394" ht="15.75" customHeight="1">
      <c r="B394" s="15"/>
      <c r="D394" s="15"/>
    </row>
    <row r="395" ht="15.75" customHeight="1">
      <c r="B395" s="15"/>
      <c r="D395" s="15"/>
    </row>
    <row r="396" ht="15.75" customHeight="1">
      <c r="B396" s="15"/>
      <c r="D396" s="15"/>
    </row>
    <row r="397" ht="15.75" customHeight="1">
      <c r="B397" s="15"/>
      <c r="D397" s="15"/>
    </row>
    <row r="398" ht="15.75" customHeight="1">
      <c r="B398" s="15"/>
      <c r="D398" s="15"/>
    </row>
    <row r="399" ht="15.75" customHeight="1">
      <c r="B399" s="15"/>
      <c r="D399" s="15"/>
    </row>
    <row r="400" ht="15.75" customHeight="1">
      <c r="B400" s="15"/>
      <c r="D400" s="15"/>
    </row>
    <row r="401" ht="15.75" customHeight="1">
      <c r="B401" s="15"/>
      <c r="D401" s="15"/>
    </row>
    <row r="402" ht="15.75" customHeight="1">
      <c r="B402" s="15"/>
      <c r="D402" s="15"/>
    </row>
    <row r="403" ht="15.75" customHeight="1">
      <c r="B403" s="15"/>
      <c r="D403" s="15"/>
    </row>
    <row r="404" ht="15.75" customHeight="1">
      <c r="B404" s="15"/>
      <c r="D404" s="15"/>
    </row>
    <row r="405" ht="15.75" customHeight="1">
      <c r="B405" s="15"/>
      <c r="D405" s="15"/>
    </row>
    <row r="406" ht="15.75" customHeight="1">
      <c r="B406" s="15"/>
      <c r="D406" s="15"/>
    </row>
    <row r="407" ht="15.75" customHeight="1">
      <c r="B407" s="15"/>
      <c r="D407" s="15"/>
    </row>
    <row r="408" ht="15.75" customHeight="1">
      <c r="B408" s="15"/>
      <c r="D408" s="15"/>
    </row>
    <row r="409" ht="15.75" customHeight="1">
      <c r="B409" s="15"/>
      <c r="D409" s="15"/>
    </row>
    <row r="410" ht="15.75" customHeight="1">
      <c r="B410" s="15"/>
      <c r="D410" s="15"/>
    </row>
    <row r="411" ht="15.75" customHeight="1">
      <c r="B411" s="15"/>
      <c r="D411" s="15"/>
    </row>
    <row r="412" ht="15.75" customHeight="1">
      <c r="B412" s="15"/>
      <c r="D412" s="15"/>
    </row>
    <row r="413" ht="15.75" customHeight="1">
      <c r="B413" s="15"/>
      <c r="D413" s="15"/>
    </row>
    <row r="414" ht="15.75" customHeight="1">
      <c r="B414" s="15"/>
      <c r="D414" s="15"/>
    </row>
    <row r="415" ht="15.75" customHeight="1">
      <c r="B415" s="15"/>
      <c r="D415" s="15"/>
    </row>
    <row r="416" ht="15.75" customHeight="1">
      <c r="B416" s="15"/>
      <c r="D416" s="15"/>
    </row>
    <row r="417" ht="15.75" customHeight="1">
      <c r="B417" s="15"/>
      <c r="D417" s="15"/>
    </row>
    <row r="418" ht="15.75" customHeight="1">
      <c r="B418" s="15"/>
      <c r="D418" s="15"/>
    </row>
    <row r="419" ht="15.75" customHeight="1">
      <c r="B419" s="15"/>
      <c r="D419" s="15"/>
    </row>
    <row r="420" ht="15.75" customHeight="1">
      <c r="B420" s="15"/>
      <c r="D420" s="15"/>
    </row>
    <row r="421" ht="15.75" customHeight="1">
      <c r="B421" s="15"/>
      <c r="D421" s="15"/>
    </row>
    <row r="422" ht="15.75" customHeight="1">
      <c r="B422" s="15"/>
      <c r="D422" s="15"/>
    </row>
    <row r="423" ht="15.75" customHeight="1">
      <c r="B423" s="15"/>
      <c r="D423" s="15"/>
    </row>
    <row r="424" ht="15.75" customHeight="1">
      <c r="B424" s="15"/>
      <c r="D424" s="15"/>
    </row>
    <row r="425" ht="15.75" customHeight="1">
      <c r="B425" s="15"/>
      <c r="D425" s="15"/>
    </row>
    <row r="426" ht="15.75" customHeight="1">
      <c r="B426" s="15"/>
      <c r="D426" s="15"/>
    </row>
    <row r="427" ht="15.75" customHeight="1">
      <c r="B427" s="15"/>
      <c r="D427" s="15"/>
    </row>
    <row r="428" ht="15.75" customHeight="1">
      <c r="B428" s="15"/>
      <c r="D428" s="15"/>
    </row>
    <row r="429" ht="15.75" customHeight="1">
      <c r="B429" s="15"/>
      <c r="D429" s="15"/>
    </row>
    <row r="430" ht="15.75" customHeight="1">
      <c r="B430" s="15"/>
      <c r="D430" s="15"/>
    </row>
    <row r="431" ht="15.75" customHeight="1">
      <c r="B431" s="15"/>
      <c r="D431" s="15"/>
    </row>
    <row r="432" ht="15.75" customHeight="1">
      <c r="B432" s="15"/>
      <c r="D432" s="15"/>
    </row>
    <row r="433" ht="15.75" customHeight="1">
      <c r="B433" s="15"/>
      <c r="D433" s="15"/>
    </row>
    <row r="434" ht="15.75" customHeight="1">
      <c r="B434" s="15"/>
      <c r="D434" s="15"/>
    </row>
    <row r="435" ht="15.75" customHeight="1">
      <c r="B435" s="15"/>
      <c r="D435" s="15"/>
    </row>
    <row r="436" ht="15.75" customHeight="1">
      <c r="B436" s="15"/>
      <c r="D436" s="15"/>
    </row>
    <row r="437" ht="15.75" customHeight="1">
      <c r="B437" s="15"/>
      <c r="D437" s="15"/>
    </row>
    <row r="438" ht="15.75" customHeight="1">
      <c r="B438" s="15"/>
      <c r="D438" s="15"/>
    </row>
    <row r="439" ht="15.75" customHeight="1">
      <c r="B439" s="15"/>
      <c r="D439" s="15"/>
    </row>
    <row r="440" ht="15.75" customHeight="1">
      <c r="B440" s="15"/>
      <c r="D440" s="15"/>
    </row>
    <row r="441" ht="15.75" customHeight="1">
      <c r="B441" s="15"/>
      <c r="D441" s="15"/>
    </row>
    <row r="442" ht="15.75" customHeight="1">
      <c r="B442" s="15"/>
      <c r="D442" s="15"/>
    </row>
    <row r="443" ht="15.75" customHeight="1">
      <c r="B443" s="15"/>
      <c r="D443" s="15"/>
    </row>
    <row r="444" ht="15.75" customHeight="1">
      <c r="B444" s="15"/>
      <c r="D444" s="15"/>
    </row>
    <row r="445" ht="15.75" customHeight="1">
      <c r="B445" s="15"/>
      <c r="D445" s="15"/>
    </row>
    <row r="446" ht="15.75" customHeight="1">
      <c r="B446" s="15"/>
      <c r="D446" s="15"/>
    </row>
    <row r="447" ht="15.75" customHeight="1">
      <c r="B447" s="15"/>
      <c r="D447" s="15"/>
    </row>
    <row r="448" ht="15.75" customHeight="1">
      <c r="B448" s="15"/>
      <c r="D448" s="15"/>
    </row>
    <row r="449" ht="15.75" customHeight="1">
      <c r="B449" s="15"/>
      <c r="D449" s="15"/>
    </row>
    <row r="450" ht="15.75" customHeight="1">
      <c r="B450" s="15"/>
      <c r="D450" s="15"/>
    </row>
    <row r="451" ht="15.75" customHeight="1">
      <c r="B451" s="15"/>
      <c r="D451" s="15"/>
    </row>
    <row r="452" ht="15.75" customHeight="1">
      <c r="B452" s="15"/>
      <c r="D452" s="15"/>
    </row>
    <row r="453" ht="15.75" customHeight="1">
      <c r="B453" s="15"/>
      <c r="D453" s="15"/>
    </row>
    <row r="454" ht="15.75" customHeight="1">
      <c r="B454" s="15"/>
      <c r="D454" s="15"/>
    </row>
    <row r="455" ht="15.75" customHeight="1">
      <c r="B455" s="15"/>
      <c r="D455" s="15"/>
    </row>
    <row r="456" ht="15.75" customHeight="1">
      <c r="B456" s="15"/>
      <c r="D456" s="15"/>
    </row>
    <row r="457" ht="15.75" customHeight="1">
      <c r="B457" s="15"/>
      <c r="D457" s="15"/>
    </row>
    <row r="458" ht="15.75" customHeight="1">
      <c r="B458" s="15"/>
      <c r="D458" s="15"/>
    </row>
    <row r="459" ht="15.75" customHeight="1">
      <c r="B459" s="15"/>
      <c r="D459" s="15"/>
    </row>
    <row r="460" ht="15.75" customHeight="1">
      <c r="B460" s="15"/>
      <c r="D460" s="15"/>
    </row>
    <row r="461" ht="15.75" customHeight="1">
      <c r="B461" s="15"/>
      <c r="D461" s="15"/>
    </row>
    <row r="462" ht="15.75" customHeight="1">
      <c r="B462" s="15"/>
      <c r="D462" s="15"/>
    </row>
    <row r="463" ht="15.75" customHeight="1">
      <c r="B463" s="15"/>
      <c r="D463" s="15"/>
    </row>
    <row r="464" ht="15.75" customHeight="1">
      <c r="B464" s="15"/>
      <c r="D464" s="15"/>
    </row>
    <row r="465" ht="15.75" customHeight="1">
      <c r="B465" s="15"/>
      <c r="D465" s="15"/>
    </row>
    <row r="466" ht="15.75" customHeight="1">
      <c r="B466" s="15"/>
      <c r="D466" s="15"/>
    </row>
    <row r="467" ht="15.75" customHeight="1">
      <c r="B467" s="15"/>
      <c r="D467" s="15"/>
    </row>
    <row r="468" ht="15.75" customHeight="1">
      <c r="B468" s="15"/>
      <c r="D468" s="15"/>
    </row>
    <row r="469" ht="15.75" customHeight="1">
      <c r="B469" s="15"/>
      <c r="D469" s="15"/>
    </row>
    <row r="470" ht="15.75" customHeight="1">
      <c r="B470" s="15"/>
      <c r="D470" s="15"/>
    </row>
    <row r="471" ht="15.75" customHeight="1">
      <c r="B471" s="15"/>
      <c r="D471" s="15"/>
    </row>
    <row r="472" ht="15.75" customHeight="1">
      <c r="B472" s="15"/>
      <c r="D472" s="15"/>
    </row>
    <row r="473" ht="15.75" customHeight="1">
      <c r="B473" s="15"/>
      <c r="D473" s="15"/>
    </row>
    <row r="474" ht="15.75" customHeight="1">
      <c r="B474" s="15"/>
      <c r="D474" s="15"/>
    </row>
    <row r="475" ht="15.75" customHeight="1">
      <c r="B475" s="15"/>
      <c r="D475" s="15"/>
    </row>
    <row r="476" ht="15.75" customHeight="1">
      <c r="B476" s="15"/>
      <c r="D476" s="15"/>
    </row>
    <row r="477" ht="15.75" customHeight="1">
      <c r="B477" s="15"/>
      <c r="D477" s="15"/>
    </row>
    <row r="478" ht="15.75" customHeight="1">
      <c r="B478" s="15"/>
      <c r="D478" s="15"/>
    </row>
    <row r="479" ht="15.75" customHeight="1">
      <c r="B479" s="15"/>
      <c r="D479" s="15"/>
    </row>
    <row r="480" ht="15.75" customHeight="1">
      <c r="B480" s="15"/>
      <c r="D480" s="15"/>
    </row>
    <row r="481" ht="15.75" customHeight="1">
      <c r="B481" s="15"/>
      <c r="D481" s="15"/>
    </row>
    <row r="482" ht="15.75" customHeight="1">
      <c r="B482" s="15"/>
      <c r="D482" s="15"/>
    </row>
    <row r="483" ht="15.75" customHeight="1">
      <c r="B483" s="15"/>
      <c r="D483" s="15"/>
    </row>
    <row r="484" ht="15.75" customHeight="1">
      <c r="B484" s="15"/>
      <c r="D484" s="15"/>
    </row>
    <row r="485" ht="15.75" customHeight="1">
      <c r="B485" s="15"/>
      <c r="D485" s="15"/>
    </row>
    <row r="486" ht="15.75" customHeight="1">
      <c r="B486" s="15"/>
      <c r="D486" s="15"/>
    </row>
    <row r="487" ht="15.75" customHeight="1">
      <c r="B487" s="15"/>
      <c r="D487" s="15"/>
    </row>
    <row r="488" ht="15.75" customHeight="1">
      <c r="B488" s="15"/>
      <c r="D488" s="15"/>
    </row>
    <row r="489" ht="15.75" customHeight="1">
      <c r="B489" s="15"/>
      <c r="D489" s="15"/>
    </row>
    <row r="490" ht="15.75" customHeight="1">
      <c r="B490" s="15"/>
      <c r="D490" s="15"/>
    </row>
    <row r="491" ht="15.75" customHeight="1">
      <c r="B491" s="15"/>
      <c r="D491" s="15"/>
    </row>
    <row r="492" ht="15.75" customHeight="1">
      <c r="B492" s="15"/>
      <c r="D492" s="15"/>
    </row>
    <row r="493" ht="15.75" customHeight="1">
      <c r="B493" s="15"/>
      <c r="D493" s="15"/>
    </row>
    <row r="494" ht="15.75" customHeight="1">
      <c r="B494" s="15"/>
      <c r="D494" s="15"/>
    </row>
    <row r="495" ht="15.75" customHeight="1">
      <c r="B495" s="15"/>
      <c r="D495" s="15"/>
    </row>
    <row r="496" ht="15.75" customHeight="1">
      <c r="B496" s="15"/>
      <c r="D496" s="15"/>
    </row>
    <row r="497" ht="15.75" customHeight="1">
      <c r="B497" s="15"/>
      <c r="D497" s="15"/>
    </row>
    <row r="498" ht="15.75" customHeight="1">
      <c r="B498" s="15"/>
      <c r="D498" s="15"/>
    </row>
    <row r="499" ht="15.75" customHeight="1">
      <c r="B499" s="15"/>
      <c r="D499" s="15"/>
    </row>
    <row r="500" ht="15.75" customHeight="1">
      <c r="B500" s="15"/>
      <c r="D500" s="15"/>
    </row>
    <row r="501" ht="15.75" customHeight="1">
      <c r="B501" s="15"/>
      <c r="D501" s="15"/>
    </row>
    <row r="502" ht="15.75" customHeight="1">
      <c r="B502" s="15"/>
      <c r="D502" s="15"/>
    </row>
    <row r="503" ht="15.75" customHeight="1">
      <c r="B503" s="15"/>
      <c r="D503" s="15"/>
    </row>
    <row r="504" ht="15.75" customHeight="1">
      <c r="B504" s="15"/>
      <c r="D504" s="15"/>
    </row>
    <row r="505" ht="15.75" customHeight="1">
      <c r="B505" s="15"/>
      <c r="D505" s="15"/>
    </row>
    <row r="506" ht="15.75" customHeight="1">
      <c r="B506" s="15"/>
      <c r="D506" s="15"/>
    </row>
    <row r="507" ht="15.75" customHeight="1">
      <c r="B507" s="15"/>
      <c r="D507" s="15"/>
    </row>
    <row r="508" ht="15.75" customHeight="1">
      <c r="B508" s="15"/>
      <c r="D508" s="15"/>
    </row>
    <row r="509" ht="15.75" customHeight="1">
      <c r="B509" s="15"/>
      <c r="D509" s="15"/>
    </row>
    <row r="510" ht="15.75" customHeight="1">
      <c r="B510" s="15"/>
      <c r="D510" s="15"/>
    </row>
    <row r="511" ht="15.75" customHeight="1">
      <c r="B511" s="15"/>
      <c r="D511" s="15"/>
    </row>
    <row r="512" ht="15.75" customHeight="1">
      <c r="B512" s="15"/>
      <c r="D512" s="15"/>
    </row>
    <row r="513" ht="15.75" customHeight="1">
      <c r="B513" s="15"/>
      <c r="D513" s="15"/>
    </row>
    <row r="514" ht="15.75" customHeight="1">
      <c r="B514" s="15"/>
      <c r="D514" s="15"/>
    </row>
    <row r="515" ht="15.75" customHeight="1">
      <c r="B515" s="15"/>
      <c r="D515" s="15"/>
    </row>
    <row r="516" ht="15.75" customHeight="1">
      <c r="B516" s="15"/>
      <c r="D516" s="15"/>
    </row>
    <row r="517" ht="15.75" customHeight="1">
      <c r="B517" s="15"/>
      <c r="D517" s="15"/>
    </row>
    <row r="518" ht="15.75" customHeight="1">
      <c r="B518" s="15"/>
      <c r="D518" s="15"/>
    </row>
    <row r="519" ht="15.75" customHeight="1">
      <c r="B519" s="15"/>
      <c r="D519" s="15"/>
    </row>
    <row r="520" ht="15.75" customHeight="1">
      <c r="B520" s="15"/>
      <c r="D520" s="15"/>
    </row>
    <row r="521" ht="15.75" customHeight="1">
      <c r="B521" s="15"/>
      <c r="D521" s="15"/>
    </row>
    <row r="522" ht="15.75" customHeight="1">
      <c r="B522" s="15"/>
      <c r="D522" s="15"/>
    </row>
    <row r="523" ht="15.75" customHeight="1">
      <c r="B523" s="15"/>
      <c r="D523" s="15"/>
    </row>
    <row r="524" ht="15.75" customHeight="1">
      <c r="B524" s="15"/>
      <c r="D524" s="15"/>
    </row>
    <row r="525" ht="15.75" customHeight="1">
      <c r="B525" s="15"/>
      <c r="D525" s="15"/>
    </row>
    <row r="526" ht="15.75" customHeight="1">
      <c r="B526" s="15"/>
      <c r="D526" s="15"/>
    </row>
    <row r="527" ht="15.75" customHeight="1">
      <c r="B527" s="15"/>
      <c r="D527" s="15"/>
    </row>
    <row r="528" ht="15.75" customHeight="1">
      <c r="B528" s="15"/>
      <c r="D528" s="15"/>
    </row>
    <row r="529" ht="15.75" customHeight="1">
      <c r="B529" s="15"/>
      <c r="D529" s="15"/>
    </row>
    <row r="530" ht="15.75" customHeight="1">
      <c r="B530" s="15"/>
      <c r="D530" s="15"/>
    </row>
    <row r="531" ht="15.75" customHeight="1">
      <c r="B531" s="15"/>
      <c r="D531" s="15"/>
    </row>
    <row r="532" ht="15.75" customHeight="1">
      <c r="B532" s="15"/>
      <c r="D532" s="15"/>
    </row>
    <row r="533" ht="15.75" customHeight="1">
      <c r="B533" s="15"/>
      <c r="D533" s="15"/>
    </row>
    <row r="534" ht="15.75" customHeight="1">
      <c r="B534" s="15"/>
      <c r="D534" s="15"/>
    </row>
    <row r="535" ht="15.75" customHeight="1">
      <c r="B535" s="15"/>
      <c r="D535" s="15"/>
    </row>
    <row r="536" ht="15.75" customHeight="1">
      <c r="B536" s="15"/>
      <c r="D536" s="15"/>
    </row>
    <row r="537" ht="15.75" customHeight="1">
      <c r="B537" s="15"/>
      <c r="D537" s="15"/>
    </row>
    <row r="538" ht="15.75" customHeight="1">
      <c r="B538" s="15"/>
      <c r="D538" s="15"/>
    </row>
    <row r="539" ht="15.75" customHeight="1">
      <c r="B539" s="15"/>
      <c r="D539" s="15"/>
    </row>
    <row r="540" ht="15.75" customHeight="1">
      <c r="B540" s="15"/>
      <c r="D540" s="15"/>
    </row>
    <row r="541" ht="15.75" customHeight="1">
      <c r="B541" s="15"/>
      <c r="D541" s="15"/>
    </row>
    <row r="542" ht="15.75" customHeight="1">
      <c r="B542" s="15"/>
      <c r="D542" s="15"/>
    </row>
    <row r="543" ht="15.75" customHeight="1">
      <c r="B543" s="15"/>
      <c r="D543" s="15"/>
    </row>
    <row r="544" ht="15.75" customHeight="1">
      <c r="B544" s="15"/>
      <c r="D544" s="15"/>
    </row>
    <row r="545" ht="15.75" customHeight="1">
      <c r="B545" s="15"/>
      <c r="D545" s="15"/>
    </row>
    <row r="546" ht="15.75" customHeight="1">
      <c r="B546" s="15"/>
      <c r="D546" s="15"/>
    </row>
    <row r="547" ht="15.75" customHeight="1">
      <c r="B547" s="15"/>
      <c r="D547" s="15"/>
    </row>
    <row r="548" ht="15.75" customHeight="1">
      <c r="B548" s="15"/>
      <c r="D548" s="15"/>
    </row>
    <row r="549" ht="15.75" customHeight="1">
      <c r="B549" s="15"/>
      <c r="D549" s="15"/>
    </row>
    <row r="550" ht="15.75" customHeight="1">
      <c r="B550" s="15"/>
      <c r="D550" s="15"/>
    </row>
    <row r="551" ht="15.75" customHeight="1">
      <c r="B551" s="15"/>
      <c r="D551" s="15"/>
    </row>
    <row r="552" ht="15.75" customHeight="1">
      <c r="B552" s="15"/>
      <c r="D552" s="15"/>
    </row>
    <row r="553" ht="15.75" customHeight="1">
      <c r="B553" s="15"/>
      <c r="D553" s="15"/>
    </row>
    <row r="554" ht="15.75" customHeight="1">
      <c r="B554" s="15"/>
      <c r="D554" s="15"/>
    </row>
    <row r="555" ht="15.75" customHeight="1">
      <c r="B555" s="15"/>
      <c r="D555" s="15"/>
    </row>
    <row r="556" ht="15.75" customHeight="1">
      <c r="B556" s="15"/>
      <c r="D556" s="15"/>
    </row>
    <row r="557" ht="15.75" customHeight="1">
      <c r="B557" s="15"/>
      <c r="D557" s="15"/>
    </row>
    <row r="558" ht="15.75" customHeight="1">
      <c r="B558" s="15"/>
      <c r="D558" s="15"/>
    </row>
    <row r="559" ht="15.75" customHeight="1">
      <c r="B559" s="15"/>
      <c r="D559" s="15"/>
    </row>
    <row r="560" ht="15.75" customHeight="1">
      <c r="B560" s="15"/>
      <c r="D560" s="15"/>
    </row>
    <row r="561" ht="15.75" customHeight="1">
      <c r="B561" s="15"/>
      <c r="D561" s="15"/>
    </row>
    <row r="562" ht="15.75" customHeight="1">
      <c r="B562" s="15"/>
      <c r="D562" s="15"/>
    </row>
    <row r="563" ht="15.75" customHeight="1">
      <c r="B563" s="15"/>
      <c r="D563" s="15"/>
    </row>
    <row r="564" ht="15.75" customHeight="1">
      <c r="B564" s="15"/>
      <c r="D564" s="15"/>
    </row>
    <row r="565" ht="15.75" customHeight="1">
      <c r="B565" s="15"/>
      <c r="D565" s="15"/>
    </row>
    <row r="566" ht="15.75" customHeight="1">
      <c r="B566" s="15"/>
      <c r="D566" s="15"/>
    </row>
    <row r="567" ht="15.75" customHeight="1">
      <c r="B567" s="15"/>
      <c r="D567" s="15"/>
    </row>
    <row r="568" ht="15.75" customHeight="1">
      <c r="B568" s="15"/>
      <c r="D568" s="15"/>
    </row>
    <row r="569" ht="15.75" customHeight="1">
      <c r="B569" s="15"/>
      <c r="D569" s="15"/>
    </row>
    <row r="570" ht="15.75" customHeight="1">
      <c r="B570" s="15"/>
      <c r="D570" s="15"/>
    </row>
    <row r="571" ht="15.75" customHeight="1">
      <c r="B571" s="15"/>
      <c r="D571" s="15"/>
    </row>
    <row r="572" ht="15.75" customHeight="1">
      <c r="B572" s="15"/>
      <c r="D572" s="15"/>
    </row>
    <row r="573" ht="15.75" customHeight="1">
      <c r="B573" s="15"/>
      <c r="D573" s="15"/>
    </row>
    <row r="574" ht="15.75" customHeight="1">
      <c r="B574" s="15"/>
      <c r="D574" s="15"/>
    </row>
    <row r="575" ht="15.75" customHeight="1">
      <c r="B575" s="15"/>
      <c r="D575" s="15"/>
    </row>
    <row r="576" ht="15.75" customHeight="1">
      <c r="B576" s="15"/>
      <c r="D576" s="15"/>
    </row>
    <row r="577" ht="15.75" customHeight="1">
      <c r="B577" s="15"/>
      <c r="D577" s="15"/>
    </row>
    <row r="578" ht="15.75" customHeight="1">
      <c r="B578" s="15"/>
      <c r="D578" s="15"/>
    </row>
    <row r="579" ht="15.75" customHeight="1">
      <c r="B579" s="15"/>
      <c r="D579" s="15"/>
    </row>
    <row r="580" ht="15.75" customHeight="1">
      <c r="B580" s="15"/>
      <c r="D580" s="15"/>
    </row>
    <row r="581" ht="15.75" customHeight="1">
      <c r="B581" s="15"/>
      <c r="D581" s="15"/>
    </row>
    <row r="582" ht="15.75" customHeight="1">
      <c r="B582" s="15"/>
      <c r="D582" s="15"/>
    </row>
    <row r="583" ht="15.75" customHeight="1">
      <c r="B583" s="15"/>
      <c r="D583" s="15"/>
    </row>
    <row r="584" ht="15.75" customHeight="1">
      <c r="B584" s="15"/>
      <c r="D584" s="15"/>
    </row>
    <row r="585" ht="15.75" customHeight="1">
      <c r="B585" s="15"/>
      <c r="D585" s="15"/>
    </row>
    <row r="586" ht="15.75" customHeight="1">
      <c r="B586" s="15"/>
      <c r="D586" s="15"/>
    </row>
    <row r="587" ht="15.75" customHeight="1">
      <c r="B587" s="15"/>
      <c r="D587" s="15"/>
    </row>
    <row r="588" ht="15.75" customHeight="1">
      <c r="B588" s="15"/>
      <c r="D588" s="15"/>
    </row>
    <row r="589" ht="15.75" customHeight="1">
      <c r="B589" s="15"/>
      <c r="D589" s="15"/>
    </row>
    <row r="590" ht="15.75" customHeight="1">
      <c r="B590" s="15"/>
      <c r="D590" s="15"/>
    </row>
    <row r="591" ht="15.75" customHeight="1">
      <c r="B591" s="15"/>
      <c r="D591" s="15"/>
    </row>
    <row r="592" ht="15.75" customHeight="1">
      <c r="B592" s="15"/>
      <c r="D592" s="15"/>
    </row>
    <row r="593" ht="15.75" customHeight="1">
      <c r="B593" s="15"/>
      <c r="D593" s="15"/>
    </row>
    <row r="594" ht="15.75" customHeight="1">
      <c r="B594" s="15"/>
      <c r="D594" s="15"/>
    </row>
    <row r="595" ht="15.75" customHeight="1">
      <c r="B595" s="15"/>
      <c r="D595" s="15"/>
    </row>
    <row r="596" ht="15.75" customHeight="1">
      <c r="B596" s="15"/>
      <c r="D596" s="15"/>
    </row>
    <row r="597" ht="15.75" customHeight="1">
      <c r="B597" s="15"/>
      <c r="D597" s="15"/>
    </row>
    <row r="598" ht="15.75" customHeight="1">
      <c r="B598" s="15"/>
      <c r="D598" s="15"/>
    </row>
    <row r="599" ht="15.75" customHeight="1">
      <c r="B599" s="15"/>
      <c r="D599" s="15"/>
    </row>
    <row r="600" ht="15.75" customHeight="1">
      <c r="B600" s="15"/>
      <c r="D600" s="15"/>
    </row>
    <row r="601" ht="15.75" customHeight="1">
      <c r="B601" s="15"/>
      <c r="D601" s="15"/>
    </row>
    <row r="602" ht="15.75" customHeight="1">
      <c r="B602" s="15"/>
      <c r="D602" s="15"/>
    </row>
    <row r="603" ht="15.75" customHeight="1">
      <c r="B603" s="15"/>
      <c r="D603" s="15"/>
    </row>
    <row r="604" ht="15.75" customHeight="1">
      <c r="B604" s="15"/>
      <c r="D604" s="15"/>
    </row>
    <row r="605" ht="15.75" customHeight="1">
      <c r="B605" s="15"/>
      <c r="D605" s="15"/>
    </row>
    <row r="606" ht="15.75" customHeight="1">
      <c r="B606" s="15"/>
      <c r="D606" s="15"/>
    </row>
    <row r="607" ht="15.75" customHeight="1">
      <c r="B607" s="15"/>
      <c r="D607" s="15"/>
    </row>
    <row r="608" ht="15.75" customHeight="1">
      <c r="B608" s="15"/>
      <c r="D608" s="15"/>
    </row>
    <row r="609" ht="15.75" customHeight="1">
      <c r="B609" s="15"/>
      <c r="D609" s="15"/>
    </row>
    <row r="610" ht="15.75" customHeight="1">
      <c r="B610" s="15"/>
      <c r="D610" s="15"/>
    </row>
    <row r="611" ht="15.75" customHeight="1">
      <c r="B611" s="15"/>
      <c r="D611" s="15"/>
    </row>
    <row r="612" ht="15.75" customHeight="1">
      <c r="B612" s="15"/>
      <c r="D612" s="15"/>
    </row>
    <row r="613" ht="15.75" customHeight="1">
      <c r="B613" s="15"/>
      <c r="D613" s="15"/>
    </row>
    <row r="614" ht="15.75" customHeight="1">
      <c r="B614" s="15"/>
      <c r="D614" s="15"/>
    </row>
    <row r="615" ht="15.75" customHeight="1">
      <c r="B615" s="15"/>
      <c r="D615" s="15"/>
    </row>
    <row r="616" ht="15.75" customHeight="1">
      <c r="B616" s="15"/>
      <c r="D616" s="15"/>
    </row>
    <row r="617" ht="15.75" customHeight="1">
      <c r="B617" s="15"/>
      <c r="D617" s="15"/>
    </row>
    <row r="618" ht="15.75" customHeight="1">
      <c r="B618" s="15"/>
      <c r="D618" s="15"/>
    </row>
    <row r="619" ht="15.75" customHeight="1">
      <c r="B619" s="15"/>
      <c r="D619" s="15"/>
    </row>
    <row r="620" ht="15.75" customHeight="1">
      <c r="B620" s="15"/>
      <c r="D620" s="15"/>
    </row>
    <row r="621" ht="15.75" customHeight="1">
      <c r="B621" s="15"/>
      <c r="D621" s="15"/>
    </row>
    <row r="622" ht="15.75" customHeight="1">
      <c r="B622" s="15"/>
      <c r="D622" s="15"/>
    </row>
    <row r="623" ht="15.75" customHeight="1">
      <c r="B623" s="15"/>
      <c r="D623" s="15"/>
    </row>
    <row r="624" ht="15.75" customHeight="1">
      <c r="B624" s="15"/>
      <c r="D624" s="15"/>
    </row>
    <row r="625" ht="15.75" customHeight="1">
      <c r="B625" s="15"/>
      <c r="D625" s="15"/>
    </row>
    <row r="626" ht="15.75" customHeight="1">
      <c r="B626" s="15"/>
      <c r="D626" s="15"/>
    </row>
    <row r="627" ht="15.75" customHeight="1">
      <c r="B627" s="15"/>
      <c r="D627" s="15"/>
    </row>
    <row r="628" ht="15.75" customHeight="1">
      <c r="B628" s="15"/>
      <c r="D628" s="15"/>
    </row>
    <row r="629" ht="15.75" customHeight="1">
      <c r="B629" s="15"/>
      <c r="D629" s="15"/>
    </row>
    <row r="630" ht="15.75" customHeight="1">
      <c r="B630" s="15"/>
      <c r="D630" s="15"/>
    </row>
    <row r="631" ht="15.75" customHeight="1">
      <c r="B631" s="15"/>
      <c r="D631" s="15"/>
    </row>
    <row r="632" ht="15.75" customHeight="1">
      <c r="B632" s="15"/>
      <c r="D632" s="15"/>
    </row>
    <row r="633" ht="15.75" customHeight="1">
      <c r="B633" s="15"/>
      <c r="D633" s="15"/>
    </row>
    <row r="634" ht="15.75" customHeight="1">
      <c r="B634" s="15"/>
      <c r="D634" s="15"/>
    </row>
    <row r="635" ht="15.75" customHeight="1">
      <c r="B635" s="15"/>
      <c r="D635" s="15"/>
    </row>
    <row r="636" ht="15.75" customHeight="1">
      <c r="B636" s="15"/>
      <c r="D636" s="15"/>
    </row>
    <row r="637" ht="15.75" customHeight="1">
      <c r="B637" s="15"/>
      <c r="D637" s="15"/>
    </row>
    <row r="638" ht="15.75" customHeight="1">
      <c r="B638" s="15"/>
      <c r="D638" s="15"/>
    </row>
    <row r="639" ht="15.75" customHeight="1">
      <c r="B639" s="15"/>
      <c r="D639" s="15"/>
    </row>
    <row r="640" ht="15.75" customHeight="1">
      <c r="B640" s="15"/>
      <c r="D640" s="15"/>
    </row>
    <row r="641" ht="15.75" customHeight="1">
      <c r="B641" s="15"/>
      <c r="D641" s="15"/>
    </row>
    <row r="642" ht="15.75" customHeight="1">
      <c r="B642" s="15"/>
      <c r="D642" s="15"/>
    </row>
    <row r="643" ht="15.75" customHeight="1">
      <c r="B643" s="15"/>
      <c r="D643" s="15"/>
    </row>
    <row r="644" ht="15.75" customHeight="1">
      <c r="B644" s="15"/>
      <c r="D644" s="15"/>
    </row>
    <row r="645" ht="15.75" customHeight="1">
      <c r="B645" s="15"/>
      <c r="D645" s="15"/>
    </row>
    <row r="646" ht="15.75" customHeight="1">
      <c r="B646" s="15"/>
      <c r="D646" s="15"/>
    </row>
    <row r="647" ht="15.75" customHeight="1">
      <c r="B647" s="15"/>
      <c r="D647" s="15"/>
    </row>
    <row r="648" ht="15.75" customHeight="1">
      <c r="B648" s="15"/>
      <c r="D648" s="15"/>
    </row>
    <row r="649" ht="15.75" customHeight="1">
      <c r="B649" s="15"/>
      <c r="D649" s="15"/>
    </row>
    <row r="650" ht="15.75" customHeight="1">
      <c r="B650" s="15"/>
      <c r="D650" s="15"/>
    </row>
    <row r="651" ht="15.75" customHeight="1">
      <c r="B651" s="15"/>
      <c r="D651" s="15"/>
    </row>
    <row r="652" ht="15.75" customHeight="1">
      <c r="B652" s="15"/>
      <c r="D652" s="15"/>
    </row>
    <row r="653" ht="15.75" customHeight="1">
      <c r="B653" s="15"/>
      <c r="D653" s="15"/>
    </row>
    <row r="654" ht="15.75" customHeight="1">
      <c r="B654" s="15"/>
      <c r="D654" s="15"/>
    </row>
    <row r="655" ht="15.75" customHeight="1">
      <c r="B655" s="15"/>
      <c r="D655" s="15"/>
    </row>
    <row r="656" ht="15.75" customHeight="1">
      <c r="B656" s="15"/>
      <c r="D656" s="15"/>
    </row>
    <row r="657" ht="15.75" customHeight="1">
      <c r="B657" s="15"/>
      <c r="D657" s="15"/>
    </row>
    <row r="658" ht="15.75" customHeight="1">
      <c r="B658" s="15"/>
      <c r="D658" s="15"/>
    </row>
    <row r="659" ht="15.75" customHeight="1">
      <c r="B659" s="15"/>
      <c r="D659" s="15"/>
    </row>
    <row r="660" ht="15.75" customHeight="1">
      <c r="B660" s="15"/>
      <c r="D660" s="15"/>
    </row>
    <row r="661" ht="15.75" customHeight="1">
      <c r="B661" s="15"/>
      <c r="D661" s="15"/>
    </row>
    <row r="662" ht="15.75" customHeight="1">
      <c r="B662" s="15"/>
      <c r="D662" s="15"/>
    </row>
    <row r="663" ht="15.75" customHeight="1">
      <c r="B663" s="15"/>
      <c r="D663" s="15"/>
    </row>
    <row r="664" ht="15.75" customHeight="1">
      <c r="B664" s="15"/>
      <c r="D664" s="15"/>
    </row>
    <row r="665" ht="15.75" customHeight="1">
      <c r="B665" s="15"/>
      <c r="D665" s="15"/>
    </row>
    <row r="666" ht="15.75" customHeight="1">
      <c r="B666" s="15"/>
      <c r="D666" s="15"/>
    </row>
    <row r="667" ht="15.75" customHeight="1">
      <c r="B667" s="15"/>
      <c r="D667" s="15"/>
    </row>
    <row r="668" ht="15.75" customHeight="1">
      <c r="B668" s="15"/>
      <c r="D668" s="15"/>
    </row>
    <row r="669" ht="15.75" customHeight="1">
      <c r="B669" s="15"/>
      <c r="D669" s="15"/>
    </row>
    <row r="670" ht="15.75" customHeight="1">
      <c r="B670" s="15"/>
      <c r="D670" s="15"/>
    </row>
    <row r="671" ht="15.75" customHeight="1">
      <c r="B671" s="15"/>
      <c r="D671" s="15"/>
    </row>
    <row r="672" ht="15.75" customHeight="1">
      <c r="B672" s="15"/>
      <c r="D672" s="15"/>
    </row>
    <row r="673" ht="15.75" customHeight="1">
      <c r="B673" s="15"/>
      <c r="D673" s="15"/>
    </row>
    <row r="674" ht="15.75" customHeight="1">
      <c r="B674" s="15"/>
      <c r="D674" s="15"/>
    </row>
    <row r="675" ht="15.75" customHeight="1">
      <c r="B675" s="15"/>
      <c r="D675" s="15"/>
    </row>
    <row r="676" ht="15.75" customHeight="1">
      <c r="B676" s="15"/>
      <c r="D676" s="15"/>
    </row>
    <row r="677" ht="15.75" customHeight="1">
      <c r="B677" s="15"/>
      <c r="D677" s="15"/>
    </row>
    <row r="678" ht="15.75" customHeight="1">
      <c r="B678" s="15"/>
      <c r="D678" s="15"/>
    </row>
    <row r="679" ht="15.75" customHeight="1">
      <c r="B679" s="15"/>
      <c r="D679" s="15"/>
    </row>
    <row r="680" ht="15.75" customHeight="1">
      <c r="B680" s="15"/>
      <c r="D680" s="15"/>
    </row>
    <row r="681" ht="15.75" customHeight="1">
      <c r="B681" s="15"/>
      <c r="D681" s="15"/>
    </row>
    <row r="682" ht="15.75" customHeight="1">
      <c r="B682" s="15"/>
      <c r="D682" s="15"/>
    </row>
    <row r="683" ht="15.75" customHeight="1">
      <c r="B683" s="15"/>
      <c r="D683" s="15"/>
    </row>
    <row r="684" ht="15.75" customHeight="1">
      <c r="B684" s="15"/>
      <c r="D684" s="15"/>
    </row>
    <row r="685" ht="15.75" customHeight="1">
      <c r="B685" s="15"/>
      <c r="D685" s="15"/>
    </row>
    <row r="686" ht="15.75" customHeight="1">
      <c r="B686" s="15"/>
      <c r="D686" s="15"/>
    </row>
    <row r="687" ht="15.75" customHeight="1">
      <c r="B687" s="15"/>
      <c r="D687" s="15"/>
    </row>
    <row r="688" ht="15.75" customHeight="1">
      <c r="B688" s="15"/>
      <c r="D688" s="15"/>
    </row>
    <row r="689" ht="15.75" customHeight="1">
      <c r="B689" s="15"/>
      <c r="D689" s="15"/>
    </row>
    <row r="690" ht="15.75" customHeight="1">
      <c r="B690" s="15"/>
      <c r="D690" s="15"/>
    </row>
    <row r="691" ht="15.75" customHeight="1">
      <c r="B691" s="15"/>
      <c r="D691" s="15"/>
    </row>
    <row r="692" ht="15.75" customHeight="1">
      <c r="B692" s="15"/>
      <c r="D692" s="15"/>
    </row>
    <row r="693" ht="15.75" customHeight="1">
      <c r="B693" s="15"/>
      <c r="D693" s="15"/>
    </row>
    <row r="694" ht="15.75" customHeight="1">
      <c r="B694" s="15"/>
      <c r="D694" s="15"/>
    </row>
    <row r="695" ht="15.75" customHeight="1">
      <c r="B695" s="15"/>
      <c r="D695" s="15"/>
    </row>
    <row r="696" ht="15.75" customHeight="1">
      <c r="B696" s="15"/>
      <c r="D696" s="15"/>
    </row>
    <row r="697" ht="15.75" customHeight="1">
      <c r="B697" s="15"/>
      <c r="D697" s="15"/>
    </row>
    <row r="698" ht="15.75" customHeight="1">
      <c r="B698" s="15"/>
      <c r="D698" s="15"/>
    </row>
    <row r="699" ht="15.75" customHeight="1">
      <c r="B699" s="15"/>
      <c r="D699" s="15"/>
    </row>
    <row r="700" ht="15.75" customHeight="1">
      <c r="B700" s="15"/>
      <c r="D700" s="15"/>
    </row>
    <row r="701" ht="15.75" customHeight="1">
      <c r="B701" s="15"/>
      <c r="D701" s="15"/>
    </row>
    <row r="702" ht="15.75" customHeight="1">
      <c r="B702" s="15"/>
      <c r="D702" s="15"/>
    </row>
    <row r="703" ht="15.75" customHeight="1">
      <c r="B703" s="15"/>
      <c r="D703" s="15"/>
    </row>
    <row r="704" ht="15.75" customHeight="1">
      <c r="B704" s="15"/>
      <c r="D704" s="15"/>
    </row>
    <row r="705" ht="15.75" customHeight="1">
      <c r="B705" s="15"/>
      <c r="D705" s="15"/>
    </row>
    <row r="706" ht="15.75" customHeight="1">
      <c r="B706" s="15"/>
      <c r="D706" s="15"/>
    </row>
    <row r="707" ht="15.75" customHeight="1">
      <c r="B707" s="15"/>
      <c r="D707" s="15"/>
    </row>
    <row r="708" ht="15.75" customHeight="1">
      <c r="B708" s="15"/>
      <c r="D708" s="15"/>
    </row>
    <row r="709" ht="15.75" customHeight="1">
      <c r="B709" s="15"/>
      <c r="D709" s="15"/>
    </row>
    <row r="710" ht="15.75" customHeight="1">
      <c r="B710" s="15"/>
      <c r="D710" s="15"/>
    </row>
    <row r="711" ht="15.75" customHeight="1">
      <c r="B711" s="15"/>
      <c r="D711" s="15"/>
    </row>
    <row r="712" ht="15.75" customHeight="1">
      <c r="B712" s="15"/>
      <c r="D712" s="15"/>
    </row>
    <row r="713" ht="15.75" customHeight="1">
      <c r="B713" s="15"/>
      <c r="D713" s="15"/>
    </row>
    <row r="714" ht="15.75" customHeight="1">
      <c r="B714" s="15"/>
      <c r="D714" s="15"/>
    </row>
    <row r="715" ht="15.75" customHeight="1">
      <c r="B715" s="15"/>
      <c r="D715" s="15"/>
    </row>
    <row r="716" ht="15.75" customHeight="1">
      <c r="B716" s="15"/>
      <c r="D716" s="15"/>
    </row>
    <row r="717" ht="15.75" customHeight="1">
      <c r="B717" s="15"/>
      <c r="D717" s="15"/>
    </row>
    <row r="718" ht="15.75" customHeight="1">
      <c r="B718" s="15"/>
      <c r="D718" s="15"/>
    </row>
    <row r="719" ht="15.75" customHeight="1">
      <c r="B719" s="15"/>
      <c r="D719" s="15"/>
    </row>
    <row r="720" ht="15.75" customHeight="1">
      <c r="B720" s="15"/>
      <c r="D720" s="15"/>
    </row>
    <row r="721" ht="15.75" customHeight="1">
      <c r="B721" s="15"/>
      <c r="D721" s="15"/>
    </row>
    <row r="722" ht="15.75" customHeight="1">
      <c r="B722" s="15"/>
      <c r="D722" s="15"/>
    </row>
    <row r="723" ht="15.75" customHeight="1">
      <c r="B723" s="15"/>
      <c r="D723" s="15"/>
    </row>
    <row r="724" ht="15.75" customHeight="1">
      <c r="B724" s="15"/>
      <c r="D724" s="15"/>
    </row>
    <row r="725" ht="15.75" customHeight="1">
      <c r="B725" s="15"/>
      <c r="D725" s="15"/>
    </row>
    <row r="726" ht="15.75" customHeight="1">
      <c r="B726" s="15"/>
      <c r="D726" s="15"/>
    </row>
    <row r="727" ht="15.75" customHeight="1">
      <c r="B727" s="15"/>
      <c r="D727" s="15"/>
    </row>
    <row r="728" ht="15.75" customHeight="1">
      <c r="B728" s="15"/>
      <c r="D728" s="15"/>
    </row>
    <row r="729" ht="15.75" customHeight="1">
      <c r="B729" s="15"/>
      <c r="D729" s="15"/>
    </row>
    <row r="730" ht="15.75" customHeight="1">
      <c r="B730" s="15"/>
      <c r="D730" s="15"/>
    </row>
    <row r="731" ht="15.75" customHeight="1">
      <c r="B731" s="15"/>
      <c r="D731" s="15"/>
    </row>
    <row r="732" ht="15.75" customHeight="1">
      <c r="B732" s="15"/>
      <c r="D732" s="15"/>
    </row>
    <row r="733" ht="15.75" customHeight="1">
      <c r="B733" s="15"/>
      <c r="D733" s="15"/>
    </row>
    <row r="734" ht="15.75" customHeight="1">
      <c r="B734" s="15"/>
      <c r="D734" s="15"/>
    </row>
    <row r="735" ht="15.75" customHeight="1">
      <c r="B735" s="15"/>
      <c r="D735" s="15"/>
    </row>
    <row r="736" ht="15.75" customHeight="1">
      <c r="B736" s="15"/>
      <c r="D736" s="15"/>
    </row>
    <row r="737" ht="15.75" customHeight="1">
      <c r="B737" s="15"/>
      <c r="D737" s="15"/>
    </row>
    <row r="738" ht="15.75" customHeight="1">
      <c r="B738" s="15"/>
      <c r="D738" s="15"/>
    </row>
    <row r="739" ht="15.75" customHeight="1">
      <c r="B739" s="15"/>
      <c r="D739" s="15"/>
    </row>
    <row r="740" ht="15.75" customHeight="1">
      <c r="B740" s="15"/>
      <c r="D740" s="15"/>
    </row>
    <row r="741" ht="15.75" customHeight="1">
      <c r="B741" s="15"/>
      <c r="D741" s="15"/>
    </row>
    <row r="742" ht="15.75" customHeight="1">
      <c r="B742" s="15"/>
      <c r="D742" s="15"/>
    </row>
    <row r="743" ht="15.75" customHeight="1">
      <c r="B743" s="15"/>
      <c r="D743" s="15"/>
    </row>
    <row r="744" ht="15.75" customHeight="1">
      <c r="B744" s="15"/>
      <c r="D744" s="15"/>
    </row>
    <row r="745" ht="15.75" customHeight="1">
      <c r="B745" s="15"/>
      <c r="D745" s="15"/>
    </row>
    <row r="746" ht="15.75" customHeight="1">
      <c r="B746" s="15"/>
      <c r="D746" s="15"/>
    </row>
    <row r="747" ht="15.75" customHeight="1">
      <c r="B747" s="15"/>
      <c r="D747" s="15"/>
    </row>
    <row r="748" ht="15.75" customHeight="1">
      <c r="B748" s="15"/>
      <c r="D748" s="15"/>
    </row>
    <row r="749" ht="15.75" customHeight="1">
      <c r="B749" s="15"/>
      <c r="D749" s="15"/>
    </row>
    <row r="750" ht="15.75" customHeight="1">
      <c r="B750" s="15"/>
      <c r="D750" s="15"/>
    </row>
    <row r="751" ht="15.75" customHeight="1">
      <c r="B751" s="15"/>
      <c r="D751" s="15"/>
    </row>
    <row r="752" ht="15.75" customHeight="1">
      <c r="B752" s="15"/>
      <c r="D752" s="15"/>
    </row>
    <row r="753" ht="15.75" customHeight="1">
      <c r="B753" s="15"/>
      <c r="D753" s="15"/>
    </row>
    <row r="754" ht="15.75" customHeight="1">
      <c r="B754" s="15"/>
      <c r="D754" s="15"/>
    </row>
    <row r="755" ht="15.75" customHeight="1">
      <c r="B755" s="15"/>
      <c r="D755" s="15"/>
    </row>
    <row r="756" ht="15.75" customHeight="1">
      <c r="B756" s="15"/>
      <c r="D756" s="15"/>
    </row>
    <row r="757" ht="15.75" customHeight="1">
      <c r="B757" s="15"/>
      <c r="D757" s="15"/>
    </row>
    <row r="758" ht="15.75" customHeight="1">
      <c r="B758" s="15"/>
      <c r="D758" s="15"/>
    </row>
    <row r="759" ht="15.75" customHeight="1">
      <c r="B759" s="15"/>
      <c r="D759" s="15"/>
    </row>
    <row r="760" ht="15.75" customHeight="1">
      <c r="B760" s="15"/>
      <c r="D760" s="15"/>
    </row>
    <row r="761" ht="15.75" customHeight="1">
      <c r="B761" s="15"/>
      <c r="D761" s="15"/>
    </row>
    <row r="762" ht="15.75" customHeight="1">
      <c r="B762" s="15"/>
      <c r="D762" s="15"/>
    </row>
    <row r="763" ht="15.75" customHeight="1">
      <c r="B763" s="15"/>
      <c r="D763" s="15"/>
    </row>
    <row r="764" ht="15.75" customHeight="1">
      <c r="B764" s="15"/>
      <c r="D764" s="15"/>
    </row>
    <row r="765" ht="15.75" customHeight="1">
      <c r="B765" s="15"/>
      <c r="D765" s="15"/>
    </row>
    <row r="766" ht="15.75" customHeight="1">
      <c r="B766" s="15"/>
      <c r="D766" s="15"/>
    </row>
    <row r="767" ht="15.75" customHeight="1">
      <c r="B767" s="15"/>
      <c r="D767" s="15"/>
    </row>
    <row r="768" ht="15.75" customHeight="1">
      <c r="B768" s="15"/>
      <c r="D768" s="15"/>
    </row>
    <row r="769" ht="15.75" customHeight="1">
      <c r="B769" s="15"/>
      <c r="D769" s="15"/>
    </row>
    <row r="770" ht="15.75" customHeight="1">
      <c r="B770" s="15"/>
      <c r="D770" s="15"/>
    </row>
    <row r="771" ht="15.75" customHeight="1">
      <c r="B771" s="15"/>
      <c r="D771" s="15"/>
    </row>
    <row r="772" ht="15.75" customHeight="1">
      <c r="B772" s="15"/>
      <c r="D772" s="15"/>
    </row>
    <row r="773" ht="15.75" customHeight="1">
      <c r="B773" s="15"/>
      <c r="D773" s="15"/>
    </row>
    <row r="774" ht="15.75" customHeight="1">
      <c r="B774" s="15"/>
      <c r="D774" s="15"/>
    </row>
    <row r="775" ht="15.75" customHeight="1">
      <c r="B775" s="15"/>
      <c r="D775" s="15"/>
    </row>
    <row r="776" ht="15.75" customHeight="1">
      <c r="B776" s="15"/>
      <c r="D776" s="15"/>
    </row>
    <row r="777" ht="15.75" customHeight="1">
      <c r="B777" s="15"/>
      <c r="D777" s="15"/>
    </row>
    <row r="778" ht="15.75" customHeight="1">
      <c r="B778" s="15"/>
      <c r="D778" s="15"/>
    </row>
    <row r="779" ht="15.75" customHeight="1">
      <c r="B779" s="15"/>
      <c r="D779" s="15"/>
    </row>
    <row r="780" ht="15.75" customHeight="1">
      <c r="B780" s="15"/>
      <c r="D780" s="15"/>
    </row>
    <row r="781" ht="15.75" customHeight="1">
      <c r="B781" s="15"/>
      <c r="D781" s="15"/>
    </row>
    <row r="782" ht="15.75" customHeight="1">
      <c r="B782" s="15"/>
      <c r="D782" s="15"/>
    </row>
    <row r="783" ht="15.75" customHeight="1">
      <c r="B783" s="15"/>
      <c r="D783" s="15"/>
    </row>
    <row r="784" ht="15.75" customHeight="1">
      <c r="B784" s="15"/>
      <c r="D784" s="15"/>
    </row>
    <row r="785" ht="15.75" customHeight="1">
      <c r="B785" s="15"/>
      <c r="D785" s="15"/>
    </row>
    <row r="786" ht="15.75" customHeight="1">
      <c r="B786" s="15"/>
      <c r="D786" s="15"/>
    </row>
    <row r="787" ht="15.75" customHeight="1">
      <c r="B787" s="15"/>
      <c r="D787" s="15"/>
    </row>
    <row r="788" ht="15.75" customHeight="1">
      <c r="B788" s="15"/>
      <c r="D788" s="15"/>
    </row>
    <row r="789" ht="15.75" customHeight="1">
      <c r="B789" s="15"/>
      <c r="D789" s="15"/>
    </row>
    <row r="790" ht="15.75" customHeight="1">
      <c r="B790" s="15"/>
      <c r="D790" s="15"/>
    </row>
    <row r="791" ht="15.75" customHeight="1">
      <c r="B791" s="15"/>
      <c r="D791" s="15"/>
    </row>
    <row r="792" ht="15.75" customHeight="1">
      <c r="B792" s="15"/>
      <c r="D792" s="15"/>
    </row>
    <row r="793" ht="15.75" customHeight="1">
      <c r="B793" s="15"/>
      <c r="D793" s="15"/>
    </row>
    <row r="794" ht="15.75" customHeight="1">
      <c r="B794" s="15"/>
      <c r="D794" s="15"/>
    </row>
    <row r="795" ht="15.75" customHeight="1">
      <c r="B795" s="15"/>
      <c r="D795" s="15"/>
    </row>
    <row r="796" ht="15.75" customHeight="1">
      <c r="B796" s="15"/>
      <c r="D796" s="15"/>
    </row>
    <row r="797" ht="15.75" customHeight="1">
      <c r="B797" s="15"/>
      <c r="D797" s="15"/>
    </row>
    <row r="798" ht="15.75" customHeight="1">
      <c r="B798" s="15"/>
      <c r="D798" s="15"/>
    </row>
    <row r="799" ht="15.75" customHeight="1">
      <c r="B799" s="15"/>
      <c r="D799" s="15"/>
    </row>
    <row r="800" ht="15.75" customHeight="1">
      <c r="B800" s="15"/>
      <c r="D800" s="15"/>
    </row>
    <row r="801" ht="15.75" customHeight="1">
      <c r="B801" s="15"/>
      <c r="D801" s="15"/>
    </row>
    <row r="802" ht="15.75" customHeight="1">
      <c r="B802" s="15"/>
      <c r="D802" s="15"/>
    </row>
    <row r="803" ht="15.75" customHeight="1">
      <c r="B803" s="15"/>
      <c r="D803" s="15"/>
    </row>
    <row r="804" ht="15.75" customHeight="1">
      <c r="B804" s="15"/>
      <c r="D804" s="15"/>
    </row>
    <row r="805" ht="15.75" customHeight="1">
      <c r="B805" s="15"/>
      <c r="D805" s="15"/>
    </row>
    <row r="806" ht="15.75" customHeight="1">
      <c r="B806" s="15"/>
      <c r="D806" s="15"/>
    </row>
    <row r="807" ht="15.75" customHeight="1">
      <c r="B807" s="15"/>
      <c r="D807" s="15"/>
    </row>
    <row r="808" ht="15.75" customHeight="1">
      <c r="B808" s="15"/>
      <c r="D808" s="15"/>
    </row>
    <row r="809" ht="15.75" customHeight="1">
      <c r="B809" s="15"/>
      <c r="D809" s="15"/>
    </row>
    <row r="810" ht="15.75" customHeight="1">
      <c r="B810" s="15"/>
      <c r="D810" s="15"/>
    </row>
    <row r="811" ht="15.75" customHeight="1">
      <c r="B811" s="15"/>
      <c r="D811" s="15"/>
    </row>
    <row r="812" ht="15.75" customHeight="1">
      <c r="B812" s="15"/>
      <c r="D812" s="15"/>
    </row>
    <row r="813" ht="15.75" customHeight="1">
      <c r="B813" s="15"/>
      <c r="D813" s="15"/>
    </row>
    <row r="814" ht="15.75" customHeight="1">
      <c r="B814" s="15"/>
      <c r="D814" s="15"/>
    </row>
    <row r="815" ht="15.75" customHeight="1">
      <c r="B815" s="15"/>
      <c r="D815" s="15"/>
    </row>
    <row r="816" ht="15.75" customHeight="1">
      <c r="B816" s="15"/>
      <c r="D816" s="15"/>
    </row>
    <row r="817" ht="15.75" customHeight="1">
      <c r="B817" s="15"/>
      <c r="D817" s="15"/>
    </row>
    <row r="818" ht="15.75" customHeight="1">
      <c r="B818" s="15"/>
      <c r="D818" s="15"/>
    </row>
    <row r="819" ht="15.75" customHeight="1">
      <c r="B819" s="15"/>
      <c r="D819" s="15"/>
    </row>
    <row r="820" ht="15.75" customHeight="1">
      <c r="B820" s="15"/>
      <c r="D820" s="15"/>
    </row>
    <row r="821" ht="15.75" customHeight="1">
      <c r="B821" s="15"/>
      <c r="D821" s="15"/>
    </row>
    <row r="822" ht="15.75" customHeight="1">
      <c r="B822" s="15"/>
      <c r="D822" s="15"/>
    </row>
    <row r="823" ht="15.75" customHeight="1">
      <c r="B823" s="15"/>
      <c r="D823" s="15"/>
    </row>
    <row r="824" ht="15.75" customHeight="1">
      <c r="B824" s="15"/>
      <c r="D824" s="15"/>
    </row>
    <row r="825" ht="15.75" customHeight="1">
      <c r="B825" s="15"/>
      <c r="D825" s="15"/>
    </row>
    <row r="826" ht="15.75" customHeight="1">
      <c r="B826" s="15"/>
      <c r="D826" s="15"/>
    </row>
    <row r="827" ht="15.75" customHeight="1">
      <c r="B827" s="15"/>
      <c r="D827" s="15"/>
    </row>
    <row r="828" ht="15.75" customHeight="1">
      <c r="B828" s="15"/>
      <c r="D828" s="15"/>
    </row>
    <row r="829" ht="15.75" customHeight="1">
      <c r="B829" s="15"/>
      <c r="D829" s="15"/>
    </row>
    <row r="830" ht="15.75" customHeight="1">
      <c r="B830" s="15"/>
      <c r="D830" s="15"/>
    </row>
    <row r="831" ht="15.75" customHeight="1">
      <c r="B831" s="15"/>
      <c r="D831" s="15"/>
    </row>
    <row r="832" ht="15.75" customHeight="1">
      <c r="B832" s="15"/>
      <c r="D832" s="15"/>
    </row>
    <row r="833" ht="15.75" customHeight="1">
      <c r="B833" s="15"/>
      <c r="D833" s="15"/>
    </row>
    <row r="834" ht="15.75" customHeight="1">
      <c r="B834" s="15"/>
      <c r="D834" s="15"/>
    </row>
    <row r="835" ht="15.75" customHeight="1">
      <c r="B835" s="15"/>
      <c r="D835" s="15"/>
    </row>
    <row r="836" ht="15.75" customHeight="1">
      <c r="B836" s="15"/>
      <c r="D836" s="15"/>
    </row>
    <row r="837" ht="15.75" customHeight="1">
      <c r="B837" s="15"/>
      <c r="D837" s="15"/>
    </row>
    <row r="838" ht="15.75" customHeight="1">
      <c r="B838" s="15"/>
      <c r="D838" s="15"/>
    </row>
    <row r="839" ht="15.75" customHeight="1">
      <c r="B839" s="15"/>
      <c r="D839" s="15"/>
    </row>
    <row r="840" ht="15.75" customHeight="1">
      <c r="B840" s="15"/>
      <c r="D840" s="15"/>
    </row>
    <row r="841" ht="15.75" customHeight="1">
      <c r="B841" s="15"/>
      <c r="D841" s="15"/>
    </row>
    <row r="842" ht="15.75" customHeight="1">
      <c r="B842" s="15"/>
      <c r="D842" s="15"/>
    </row>
    <row r="843" ht="15.75" customHeight="1">
      <c r="B843" s="15"/>
      <c r="D843" s="15"/>
    </row>
    <row r="844" ht="15.75" customHeight="1">
      <c r="B844" s="15"/>
      <c r="D844" s="15"/>
    </row>
    <row r="845" ht="15.75" customHeight="1">
      <c r="B845" s="15"/>
      <c r="D845" s="15"/>
    </row>
    <row r="846" ht="15.75" customHeight="1">
      <c r="B846" s="15"/>
      <c r="D846" s="15"/>
    </row>
    <row r="847" ht="15.75" customHeight="1">
      <c r="B847" s="15"/>
      <c r="D847" s="15"/>
    </row>
    <row r="848" ht="15.75" customHeight="1">
      <c r="B848" s="15"/>
      <c r="D848" s="15"/>
    </row>
    <row r="849" ht="15.75" customHeight="1">
      <c r="B849" s="15"/>
      <c r="D849" s="15"/>
    </row>
    <row r="850" ht="15.75" customHeight="1">
      <c r="B850" s="15"/>
      <c r="D850" s="15"/>
    </row>
    <row r="851" ht="15.75" customHeight="1">
      <c r="B851" s="15"/>
      <c r="D851" s="15"/>
    </row>
    <row r="852" ht="15.75" customHeight="1">
      <c r="B852" s="15"/>
      <c r="D852" s="15"/>
    </row>
    <row r="853" ht="15.75" customHeight="1">
      <c r="B853" s="15"/>
      <c r="D853" s="15"/>
    </row>
    <row r="854" ht="15.75" customHeight="1">
      <c r="B854" s="15"/>
      <c r="D854" s="15"/>
    </row>
    <row r="855" ht="15.75" customHeight="1">
      <c r="B855" s="15"/>
      <c r="D855" s="15"/>
    </row>
    <row r="856" ht="15.75" customHeight="1">
      <c r="B856" s="15"/>
      <c r="D856" s="15"/>
    </row>
    <row r="857" ht="15.75" customHeight="1">
      <c r="B857" s="15"/>
      <c r="D857" s="15"/>
    </row>
    <row r="858" ht="15.75" customHeight="1">
      <c r="B858" s="15"/>
      <c r="D858" s="15"/>
    </row>
    <row r="859" ht="15.75" customHeight="1">
      <c r="B859" s="15"/>
      <c r="D859" s="15"/>
    </row>
    <row r="860" ht="15.75" customHeight="1">
      <c r="B860" s="15"/>
      <c r="D860" s="15"/>
    </row>
    <row r="861" ht="15.75" customHeight="1">
      <c r="B861" s="15"/>
      <c r="D861" s="15"/>
    </row>
    <row r="862" ht="15.75" customHeight="1">
      <c r="B862" s="15"/>
      <c r="D862" s="15"/>
    </row>
    <row r="863" ht="15.75" customHeight="1">
      <c r="B863" s="15"/>
      <c r="D863" s="15"/>
    </row>
    <row r="864" ht="15.75" customHeight="1">
      <c r="B864" s="15"/>
      <c r="D864" s="15"/>
    </row>
    <row r="865" ht="15.75" customHeight="1">
      <c r="B865" s="15"/>
      <c r="D865" s="15"/>
    </row>
    <row r="866" ht="15.75" customHeight="1">
      <c r="B866" s="15"/>
      <c r="D866" s="15"/>
    </row>
    <row r="867" ht="15.75" customHeight="1">
      <c r="B867" s="15"/>
      <c r="D867" s="15"/>
    </row>
    <row r="868" ht="15.75" customHeight="1">
      <c r="B868" s="15"/>
      <c r="D868" s="15"/>
    </row>
    <row r="869" ht="15.75" customHeight="1">
      <c r="B869" s="15"/>
      <c r="D869" s="15"/>
    </row>
    <row r="870" ht="15.75" customHeight="1">
      <c r="B870" s="15"/>
      <c r="D870" s="15"/>
    </row>
    <row r="871" ht="15.75" customHeight="1">
      <c r="B871" s="15"/>
      <c r="D871" s="15"/>
    </row>
    <row r="872" ht="15.75" customHeight="1">
      <c r="B872" s="15"/>
      <c r="D872" s="15"/>
    </row>
    <row r="873" ht="15.75" customHeight="1">
      <c r="B873" s="15"/>
      <c r="D873" s="15"/>
    </row>
    <row r="874" ht="15.75" customHeight="1">
      <c r="B874" s="15"/>
      <c r="D874" s="15"/>
    </row>
    <row r="875" ht="15.75" customHeight="1">
      <c r="B875" s="15"/>
      <c r="D875" s="15"/>
    </row>
    <row r="876" ht="15.75" customHeight="1">
      <c r="B876" s="15"/>
      <c r="D876" s="15"/>
    </row>
    <row r="877" ht="15.75" customHeight="1">
      <c r="B877" s="15"/>
      <c r="D877" s="15"/>
    </row>
    <row r="878" ht="15.75" customHeight="1">
      <c r="B878" s="15"/>
      <c r="D878" s="15"/>
    </row>
    <row r="879" ht="15.75" customHeight="1">
      <c r="B879" s="15"/>
      <c r="D879" s="15"/>
    </row>
    <row r="880" ht="15.75" customHeight="1">
      <c r="B880" s="15"/>
      <c r="D880" s="15"/>
    </row>
    <row r="881" ht="15.75" customHeight="1">
      <c r="B881" s="15"/>
      <c r="D881" s="15"/>
    </row>
    <row r="882" ht="15.75" customHeight="1">
      <c r="B882" s="15"/>
      <c r="D882" s="15"/>
    </row>
    <row r="883" ht="15.75" customHeight="1">
      <c r="B883" s="15"/>
      <c r="D883" s="15"/>
    </row>
    <row r="884" ht="15.75" customHeight="1">
      <c r="B884" s="15"/>
      <c r="D884" s="15"/>
    </row>
    <row r="885" ht="15.75" customHeight="1">
      <c r="B885" s="15"/>
      <c r="D885" s="15"/>
    </row>
    <row r="886" ht="15.75" customHeight="1">
      <c r="B886" s="15"/>
      <c r="D886" s="15"/>
    </row>
    <row r="887" ht="15.75" customHeight="1">
      <c r="B887" s="15"/>
      <c r="D887" s="15"/>
    </row>
    <row r="888" ht="15.75" customHeight="1">
      <c r="B888" s="15"/>
      <c r="D888" s="15"/>
    </row>
    <row r="889" ht="15.75" customHeight="1">
      <c r="B889" s="15"/>
      <c r="D889" s="15"/>
    </row>
    <row r="890" ht="15.75" customHeight="1">
      <c r="B890" s="15"/>
      <c r="D890" s="15"/>
    </row>
    <row r="891" ht="15.75" customHeight="1">
      <c r="B891" s="15"/>
      <c r="D891" s="15"/>
    </row>
    <row r="892" ht="15.75" customHeight="1">
      <c r="B892" s="15"/>
      <c r="D892" s="15"/>
    </row>
    <row r="893" ht="15.75" customHeight="1">
      <c r="B893" s="15"/>
      <c r="D893" s="15"/>
    </row>
    <row r="894" ht="15.75" customHeight="1">
      <c r="B894" s="15"/>
      <c r="D894" s="15"/>
    </row>
    <row r="895" ht="15.75" customHeight="1">
      <c r="B895" s="15"/>
      <c r="D895" s="15"/>
    </row>
    <row r="896" ht="15.75" customHeight="1">
      <c r="B896" s="15"/>
      <c r="D896" s="15"/>
    </row>
    <row r="897" ht="15.75" customHeight="1">
      <c r="B897" s="15"/>
      <c r="D897" s="15"/>
    </row>
    <row r="898" ht="15.75" customHeight="1">
      <c r="B898" s="15"/>
      <c r="D898" s="15"/>
    </row>
    <row r="899" ht="15.75" customHeight="1">
      <c r="B899" s="15"/>
      <c r="D899" s="15"/>
    </row>
    <row r="900" ht="15.75" customHeight="1">
      <c r="B900" s="15"/>
      <c r="D900" s="15"/>
    </row>
    <row r="901" ht="15.75" customHeight="1">
      <c r="B901" s="15"/>
      <c r="D901" s="15"/>
    </row>
    <row r="902" ht="15.75" customHeight="1">
      <c r="B902" s="15"/>
      <c r="D902" s="15"/>
    </row>
    <row r="903" ht="15.75" customHeight="1">
      <c r="B903" s="15"/>
      <c r="D903" s="15"/>
    </row>
    <row r="904" ht="15.75" customHeight="1">
      <c r="B904" s="15"/>
      <c r="D904" s="15"/>
    </row>
    <row r="905" ht="15.75" customHeight="1">
      <c r="B905" s="15"/>
      <c r="D905" s="15"/>
    </row>
    <row r="906" ht="15.75" customHeight="1">
      <c r="B906" s="15"/>
      <c r="D906" s="15"/>
    </row>
    <row r="907" ht="15.75" customHeight="1">
      <c r="B907" s="15"/>
      <c r="D907" s="15"/>
    </row>
    <row r="908" ht="15.75" customHeight="1">
      <c r="B908" s="15"/>
      <c r="D908" s="15"/>
    </row>
    <row r="909" ht="15.75" customHeight="1">
      <c r="B909" s="15"/>
      <c r="D909" s="15"/>
    </row>
    <row r="910" ht="15.75" customHeight="1">
      <c r="B910" s="15"/>
      <c r="D910" s="15"/>
    </row>
    <row r="911" ht="15.75" customHeight="1">
      <c r="B911" s="15"/>
      <c r="D911" s="15"/>
    </row>
    <row r="912" ht="15.75" customHeight="1">
      <c r="B912" s="15"/>
      <c r="D912" s="15"/>
    </row>
    <row r="913" ht="15.75" customHeight="1">
      <c r="B913" s="15"/>
      <c r="D913" s="15"/>
    </row>
    <row r="914" ht="15.75" customHeight="1">
      <c r="B914" s="15"/>
      <c r="D914" s="15"/>
    </row>
    <row r="915" ht="15.75" customHeight="1">
      <c r="B915" s="15"/>
      <c r="D915" s="15"/>
    </row>
    <row r="916" ht="15.75" customHeight="1">
      <c r="B916" s="15"/>
      <c r="D916" s="15"/>
    </row>
    <row r="917" ht="15.75" customHeight="1">
      <c r="B917" s="15"/>
      <c r="D917" s="15"/>
    </row>
    <row r="918" ht="15.75" customHeight="1">
      <c r="B918" s="15"/>
      <c r="D918" s="15"/>
    </row>
    <row r="919" ht="15.75" customHeight="1">
      <c r="B919" s="15"/>
      <c r="D919" s="15"/>
    </row>
    <row r="920" ht="15.75" customHeight="1">
      <c r="B920" s="15"/>
      <c r="D920" s="15"/>
    </row>
    <row r="921" ht="15.75" customHeight="1">
      <c r="B921" s="15"/>
      <c r="D921" s="15"/>
    </row>
    <row r="922" ht="15.75" customHeight="1">
      <c r="B922" s="15"/>
      <c r="D922" s="15"/>
    </row>
    <row r="923" ht="15.75" customHeight="1">
      <c r="B923" s="15"/>
      <c r="D923" s="15"/>
    </row>
    <row r="924" ht="15.75" customHeight="1">
      <c r="B924" s="15"/>
      <c r="D924" s="15"/>
    </row>
    <row r="925" ht="15.75" customHeight="1">
      <c r="B925" s="15"/>
      <c r="D925" s="15"/>
    </row>
    <row r="926" ht="15.75" customHeight="1">
      <c r="B926" s="15"/>
      <c r="D926" s="15"/>
    </row>
    <row r="927" ht="15.75" customHeight="1">
      <c r="B927" s="15"/>
      <c r="D927" s="15"/>
    </row>
    <row r="928" ht="15.75" customHeight="1">
      <c r="B928" s="15"/>
      <c r="D928" s="15"/>
    </row>
    <row r="929" ht="15.75" customHeight="1">
      <c r="B929" s="15"/>
      <c r="D929" s="15"/>
    </row>
    <row r="930" ht="15.75" customHeight="1">
      <c r="B930" s="15"/>
      <c r="D930" s="15"/>
    </row>
    <row r="931" ht="15.75" customHeight="1">
      <c r="B931" s="15"/>
      <c r="D931" s="15"/>
    </row>
    <row r="932" ht="15.75" customHeight="1">
      <c r="B932" s="15"/>
      <c r="D932" s="15"/>
    </row>
    <row r="933" ht="15.75" customHeight="1">
      <c r="B933" s="15"/>
      <c r="D933" s="15"/>
    </row>
    <row r="934" ht="15.75" customHeight="1">
      <c r="B934" s="15"/>
      <c r="D934" s="15"/>
    </row>
    <row r="935" ht="15.75" customHeight="1">
      <c r="B935" s="15"/>
      <c r="D935" s="15"/>
    </row>
    <row r="936" ht="15.75" customHeight="1">
      <c r="B936" s="15"/>
      <c r="D936" s="15"/>
    </row>
    <row r="937" ht="15.75" customHeight="1">
      <c r="B937" s="15"/>
      <c r="D937" s="15"/>
    </row>
    <row r="938" ht="15.75" customHeight="1">
      <c r="B938" s="15"/>
      <c r="D938" s="15"/>
    </row>
    <row r="939" ht="15.75" customHeight="1">
      <c r="B939" s="15"/>
      <c r="D939" s="15"/>
    </row>
    <row r="940" ht="15.75" customHeight="1">
      <c r="B940" s="15"/>
      <c r="D940" s="15"/>
    </row>
    <row r="941" ht="15.75" customHeight="1">
      <c r="B941" s="15"/>
      <c r="D941" s="15"/>
    </row>
    <row r="942" ht="15.75" customHeight="1">
      <c r="B942" s="15"/>
      <c r="D942" s="15"/>
    </row>
    <row r="943" ht="15.75" customHeight="1">
      <c r="B943" s="15"/>
      <c r="D943" s="15"/>
    </row>
    <row r="944" ht="15.75" customHeight="1">
      <c r="B944" s="15"/>
      <c r="D944" s="15"/>
    </row>
    <row r="945" ht="15.75" customHeight="1">
      <c r="B945" s="15"/>
      <c r="D945" s="15"/>
    </row>
    <row r="946" ht="15.75" customHeight="1">
      <c r="B946" s="15"/>
      <c r="D946" s="15"/>
    </row>
    <row r="947" ht="15.75" customHeight="1">
      <c r="B947" s="15"/>
      <c r="D947" s="15"/>
    </row>
    <row r="948" ht="15.75" customHeight="1">
      <c r="B948" s="15"/>
      <c r="D948" s="15"/>
    </row>
    <row r="949" ht="15.75" customHeight="1">
      <c r="B949" s="15"/>
      <c r="D949" s="15"/>
    </row>
    <row r="950" ht="15.75" customHeight="1">
      <c r="B950" s="15"/>
      <c r="D950" s="15"/>
    </row>
    <row r="951" ht="15.75" customHeight="1">
      <c r="B951" s="15"/>
      <c r="D951" s="15"/>
    </row>
    <row r="952" ht="15.75" customHeight="1">
      <c r="B952" s="15"/>
      <c r="D952" s="15"/>
    </row>
    <row r="953" ht="15.75" customHeight="1">
      <c r="B953" s="15"/>
      <c r="D953" s="15"/>
    </row>
    <row r="954" ht="15.75" customHeight="1">
      <c r="B954" s="15"/>
      <c r="D954" s="15"/>
    </row>
    <row r="955" ht="15.75" customHeight="1">
      <c r="B955" s="15"/>
      <c r="D955" s="15"/>
    </row>
    <row r="956" ht="15.75" customHeight="1">
      <c r="B956" s="15"/>
      <c r="D956" s="15"/>
    </row>
    <row r="957" ht="15.75" customHeight="1">
      <c r="B957" s="15"/>
      <c r="D957" s="15"/>
    </row>
    <row r="958" ht="15.75" customHeight="1">
      <c r="B958" s="15"/>
      <c r="D958" s="15"/>
    </row>
    <row r="959" ht="15.75" customHeight="1">
      <c r="B959" s="15"/>
      <c r="D959" s="15"/>
    </row>
    <row r="960" ht="15.75" customHeight="1">
      <c r="B960" s="15"/>
      <c r="D960" s="15"/>
    </row>
    <row r="961" ht="15.75" customHeight="1">
      <c r="B961" s="15"/>
      <c r="D961" s="15"/>
    </row>
    <row r="962" ht="15.75" customHeight="1">
      <c r="B962" s="15"/>
      <c r="D962" s="15"/>
    </row>
    <row r="963" ht="15.75" customHeight="1">
      <c r="B963" s="15"/>
      <c r="D963" s="15"/>
    </row>
    <row r="964" ht="15.75" customHeight="1">
      <c r="B964" s="15"/>
      <c r="D964" s="15"/>
    </row>
    <row r="965" ht="15.75" customHeight="1">
      <c r="B965" s="15"/>
      <c r="D965" s="15"/>
    </row>
    <row r="966" ht="15.75" customHeight="1">
      <c r="B966" s="15"/>
      <c r="D966" s="15"/>
    </row>
    <row r="967" ht="15.75" customHeight="1">
      <c r="B967" s="15"/>
      <c r="D967" s="15"/>
    </row>
    <row r="968" ht="15.75" customHeight="1">
      <c r="B968" s="15"/>
      <c r="D968" s="15"/>
    </row>
    <row r="969" ht="15.75" customHeight="1">
      <c r="B969" s="15"/>
      <c r="D969" s="15"/>
    </row>
    <row r="970" ht="15.75" customHeight="1">
      <c r="B970" s="15"/>
      <c r="D970" s="15"/>
    </row>
    <row r="971" ht="15.75" customHeight="1">
      <c r="B971" s="15"/>
      <c r="D971" s="15"/>
    </row>
    <row r="972" ht="15.75" customHeight="1">
      <c r="B972" s="15"/>
      <c r="D972" s="15"/>
    </row>
    <row r="973" ht="15.75" customHeight="1">
      <c r="B973" s="15"/>
      <c r="D973" s="15"/>
    </row>
    <row r="974" ht="15.75" customHeight="1">
      <c r="B974" s="15"/>
      <c r="D974" s="15"/>
    </row>
    <row r="975" ht="15.75" customHeight="1">
      <c r="B975" s="15"/>
      <c r="D975" s="15"/>
    </row>
    <row r="976" ht="15.75" customHeight="1">
      <c r="B976" s="15"/>
      <c r="D976" s="15"/>
    </row>
    <row r="977" ht="15.75" customHeight="1">
      <c r="B977" s="15"/>
      <c r="D977" s="15"/>
    </row>
    <row r="978" ht="15.75" customHeight="1">
      <c r="B978" s="15"/>
      <c r="D978" s="15"/>
    </row>
    <row r="979" ht="15.75" customHeight="1">
      <c r="B979" s="15"/>
      <c r="D979" s="15"/>
    </row>
    <row r="980" ht="15.75" customHeight="1">
      <c r="B980" s="15"/>
      <c r="D980" s="15"/>
    </row>
    <row r="981" ht="15.75" customHeight="1">
      <c r="B981" s="15"/>
      <c r="D981" s="15"/>
    </row>
    <row r="982" ht="15.75" customHeight="1">
      <c r="B982" s="15"/>
      <c r="D982" s="15"/>
    </row>
    <row r="983" ht="15.75" customHeight="1">
      <c r="B983" s="15"/>
      <c r="D983" s="15"/>
    </row>
    <row r="984" ht="15.75" customHeight="1">
      <c r="B984" s="15"/>
      <c r="D984" s="15"/>
    </row>
    <row r="985" ht="15.75" customHeight="1">
      <c r="B985" s="15"/>
      <c r="D985" s="15"/>
    </row>
    <row r="986" ht="15.75" customHeight="1">
      <c r="B986" s="15"/>
      <c r="D986" s="15"/>
    </row>
    <row r="987" ht="15.75" customHeight="1">
      <c r="B987" s="15"/>
      <c r="D987" s="15"/>
    </row>
    <row r="988" ht="15.75" customHeight="1">
      <c r="B988" s="15"/>
      <c r="D988" s="15"/>
    </row>
    <row r="989" ht="15.75" customHeight="1">
      <c r="B989" s="15"/>
      <c r="D989" s="15"/>
    </row>
    <row r="990" ht="15.75" customHeight="1">
      <c r="B990" s="15"/>
      <c r="D990" s="15"/>
    </row>
    <row r="991" ht="15.75" customHeight="1">
      <c r="B991" s="15"/>
      <c r="D991" s="15"/>
    </row>
    <row r="992" ht="15.75" customHeight="1">
      <c r="B992" s="15"/>
      <c r="D992" s="15"/>
    </row>
    <row r="993" ht="15.75" customHeight="1">
      <c r="B993" s="15"/>
      <c r="D993" s="15"/>
    </row>
    <row r="994" ht="15.75" customHeight="1">
      <c r="B994" s="15"/>
      <c r="D994" s="15"/>
    </row>
    <row r="995" ht="15.75" customHeight="1">
      <c r="B995" s="15"/>
      <c r="D995" s="15"/>
    </row>
    <row r="996" ht="15.75" customHeight="1">
      <c r="B996" s="15"/>
      <c r="D996" s="15"/>
    </row>
    <row r="997" ht="15.75" customHeight="1">
      <c r="B997" s="15"/>
      <c r="D997" s="15"/>
    </row>
    <row r="998" ht="15.75" customHeight="1">
      <c r="B998" s="15"/>
      <c r="D998" s="15"/>
    </row>
    <row r="999" ht="15.75" customHeight="1">
      <c r="B999" s="15"/>
      <c r="D999" s="15"/>
    </row>
    <row r="1000" ht="15.75" customHeight="1">
      <c r="B1000" s="15"/>
      <c r="D1000" s="15"/>
    </row>
  </sheetData>
  <mergeCells count="2">
    <mergeCell ref="A1:J1"/>
    <mergeCell ref="A2:J2"/>
  </mergeCells>
  <conditionalFormatting sqref="D4:D1000">
    <cfRule type="cellIs" dxfId="0" priority="1" operator="equal">
      <formula>"Fail"</formula>
    </cfRule>
  </conditionalFormatting>
  <conditionalFormatting sqref="D4:D1000">
    <cfRule type="cellIs" dxfId="1" priority="2" operator="equal">
      <formula>"Pass"</formula>
    </cfRule>
  </conditionalFormatting>
  <dataValidations>
    <dataValidation type="list" allowBlank="1" sqref="D4:D1000">
      <formula1>"Pass,Fail"</formula1>
    </dataValidation>
    <dataValidation type="list" allowBlank="1" sqref="B4:B1000">
      <formula1>"Boiler,HVAC,Substation,Switchgear,Transformer,Chiller,Other"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8" width="15.75"/>
    <col customWidth="1" min="9" max="32" width="7.63"/>
  </cols>
  <sheetData>
    <row r="1">
      <c r="A1" s="1" t="s">
        <v>111</v>
      </c>
    </row>
    <row r="2">
      <c r="A2" s="2" t="s">
        <v>112</v>
      </c>
      <c r="G2" s="18"/>
      <c r="H2" s="18"/>
      <c r="I2" s="18"/>
      <c r="J2" s="18"/>
      <c r="K2" s="18"/>
      <c r="L2" s="18"/>
      <c r="M2" s="18"/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ht="14.25" customHeight="1">
      <c r="A3" s="20" t="s">
        <v>113</v>
      </c>
      <c r="D3" s="20" t="s">
        <v>114</v>
      </c>
    </row>
    <row r="5">
      <c r="A5" s="21" t="s">
        <v>115</v>
      </c>
      <c r="B5" s="21" t="s">
        <v>116</v>
      </c>
      <c r="C5" s="21" t="s">
        <v>117</v>
      </c>
      <c r="D5" s="21" t="s">
        <v>118</v>
      </c>
      <c r="E5" s="21" t="s">
        <v>119</v>
      </c>
      <c r="F5" s="21" t="s">
        <v>120</v>
      </c>
      <c r="G5" s="21" t="s">
        <v>121</v>
      </c>
      <c r="H5" s="21" t="s">
        <v>122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>
      <c r="A6" s="23" t="s">
        <v>123</v>
      </c>
      <c r="B6" s="23"/>
      <c r="C6" s="23"/>
      <c r="D6" s="23"/>
      <c r="E6" s="23"/>
      <c r="F6" s="23"/>
      <c r="G6" s="23"/>
      <c r="H6" s="23"/>
    </row>
    <row r="7">
      <c r="A7" s="12" t="s">
        <v>124</v>
      </c>
      <c r="B7" s="12" t="s">
        <v>125</v>
      </c>
      <c r="C7" s="12"/>
      <c r="D7" s="12"/>
      <c r="E7" s="12"/>
      <c r="F7" s="12" t="str">
        <f t="shared" ref="F7:H7" si="1">IF(C7="","",IF(AND(C7&gt;=8.5,C7&lt;=9.5),"OK","OUT OF RANGE"))</f>
        <v/>
      </c>
      <c r="G7" s="12" t="str">
        <f t="shared" si="1"/>
        <v/>
      </c>
      <c r="H7" s="12" t="str">
        <f t="shared" si="1"/>
        <v/>
      </c>
    </row>
    <row r="8">
      <c r="A8" s="12" t="s">
        <v>126</v>
      </c>
      <c r="B8" s="12" t="s">
        <v>127</v>
      </c>
      <c r="C8" s="12"/>
      <c r="D8" s="12"/>
      <c r="E8" s="12"/>
      <c r="F8" s="12"/>
      <c r="G8" s="12"/>
      <c r="H8" s="12"/>
    </row>
    <row r="9">
      <c r="A9" s="12" t="s">
        <v>128</v>
      </c>
      <c r="B9" s="12" t="s">
        <v>129</v>
      </c>
      <c r="C9" s="12"/>
      <c r="D9" s="12"/>
      <c r="E9" s="12"/>
      <c r="F9" s="12" t="str">
        <f t="shared" ref="F9:H9" si="2">IF(C9="","",IF(AND(C9&gt;=0,C9&lt;=0.1),"OK","OUT OF RANGE"))</f>
        <v/>
      </c>
      <c r="G9" s="12" t="str">
        <f t="shared" si="2"/>
        <v/>
      </c>
      <c r="H9" s="12" t="str">
        <f t="shared" si="2"/>
        <v/>
      </c>
    </row>
    <row r="10">
      <c r="A10" s="12" t="s">
        <v>130</v>
      </c>
      <c r="B10" s="12" t="s">
        <v>129</v>
      </c>
      <c r="C10" s="12"/>
      <c r="D10" s="12"/>
      <c r="E10" s="12"/>
      <c r="F10" s="12" t="str">
        <f t="shared" ref="F10:H10" si="3">IF(C10="","",IF(AND(C10&gt;=0,C10&lt;=0.1),"OK","OUT OF RANGE"))</f>
        <v/>
      </c>
      <c r="G10" s="12" t="str">
        <f t="shared" si="3"/>
        <v/>
      </c>
      <c r="H10" s="12" t="str">
        <f t="shared" si="3"/>
        <v/>
      </c>
    </row>
    <row r="11">
      <c r="A11" s="23" t="s">
        <v>131</v>
      </c>
      <c r="B11" s="23"/>
      <c r="C11" s="23"/>
      <c r="D11" s="23"/>
      <c r="E11" s="23"/>
      <c r="F11" s="23"/>
      <c r="G11" s="23"/>
      <c r="H11" s="23"/>
    </row>
    <row r="12">
      <c r="A12" s="12" t="s">
        <v>124</v>
      </c>
      <c r="B12" s="12" t="s">
        <v>132</v>
      </c>
      <c r="C12" s="12"/>
      <c r="D12" s="12"/>
      <c r="E12" s="12"/>
      <c r="F12" s="12" t="str">
        <f t="shared" ref="F12:H12" si="4">IF(C12="","",IF(AND(C12&gt;=10,C12&lt;=12),"OK","OUT OF RANGE"))</f>
        <v/>
      </c>
      <c r="G12" s="12" t="str">
        <f t="shared" si="4"/>
        <v/>
      </c>
      <c r="H12" s="12" t="str">
        <f t="shared" si="4"/>
        <v/>
      </c>
    </row>
    <row r="13">
      <c r="A13" s="12" t="s">
        <v>126</v>
      </c>
      <c r="B13" s="12" t="s">
        <v>133</v>
      </c>
      <c r="C13" s="12"/>
      <c r="D13" s="12"/>
      <c r="E13" s="12"/>
      <c r="F13" s="12" t="str">
        <f t="shared" ref="F13:H13" si="5">IF(C13="","",IF(AND(C13&gt;=3500,C13&lt;=4000),"OK","OUT OF RANGE"))</f>
        <v/>
      </c>
      <c r="G13" s="12" t="str">
        <f t="shared" si="5"/>
        <v/>
      </c>
      <c r="H13" s="12" t="str">
        <f t="shared" si="5"/>
        <v/>
      </c>
    </row>
    <row r="14">
      <c r="A14" s="12" t="s">
        <v>134</v>
      </c>
      <c r="B14" s="12" t="s">
        <v>127</v>
      </c>
      <c r="C14" s="12"/>
      <c r="D14" s="12"/>
      <c r="E14" s="12"/>
      <c r="F14" s="12"/>
      <c r="G14" s="12"/>
      <c r="H14" s="12"/>
    </row>
    <row r="15">
      <c r="A15" s="12" t="s">
        <v>135</v>
      </c>
      <c r="B15" s="12" t="s">
        <v>136</v>
      </c>
      <c r="C15" s="12"/>
      <c r="D15" s="12"/>
      <c r="E15" s="12"/>
      <c r="F15" s="12" t="str">
        <f t="shared" ref="F15:H15" si="6">IF(C15="","",IF(AND(C15&gt;=300,C15&lt;=600),"OK","OUT OF RANGE"))</f>
        <v/>
      </c>
      <c r="G15" s="12" t="str">
        <f t="shared" si="6"/>
        <v/>
      </c>
      <c r="H15" s="12" t="str">
        <f t="shared" si="6"/>
        <v/>
      </c>
    </row>
    <row r="16">
      <c r="A16" s="12" t="s">
        <v>137</v>
      </c>
      <c r="B16" s="12" t="s">
        <v>138</v>
      </c>
      <c r="C16" s="12"/>
      <c r="D16" s="12"/>
      <c r="E16" s="12"/>
      <c r="F16" s="12" t="str">
        <f t="shared" ref="F16:H16" si="7">IF(C16="","",IF(AND(C16&gt;=15,C16&lt;=35),"OK","OUT OF RANGE"))</f>
        <v/>
      </c>
      <c r="G16" s="12" t="str">
        <f t="shared" si="7"/>
        <v/>
      </c>
      <c r="H16" s="12" t="str">
        <f t="shared" si="7"/>
        <v/>
      </c>
    </row>
    <row r="17">
      <c r="A17" s="23" t="s">
        <v>139</v>
      </c>
      <c r="B17" s="23"/>
      <c r="C17" s="23"/>
      <c r="D17" s="23"/>
      <c r="E17" s="23"/>
      <c r="F17" s="23"/>
      <c r="G17" s="23"/>
      <c r="H17" s="23"/>
    </row>
    <row r="18">
      <c r="A18" s="12" t="s">
        <v>124</v>
      </c>
      <c r="B18" s="12" t="s">
        <v>132</v>
      </c>
      <c r="C18" s="12"/>
      <c r="D18" s="12"/>
      <c r="E18" s="12"/>
      <c r="F18" s="12" t="str">
        <f t="shared" ref="F18:H18" si="8">IF(C18="","",IF(AND(C18&gt;=10,C18&lt;=12),"OK","OUT OF RANGE"))</f>
        <v/>
      </c>
      <c r="G18" s="12" t="str">
        <f t="shared" si="8"/>
        <v/>
      </c>
      <c r="H18" s="12" t="str">
        <f t="shared" si="8"/>
        <v/>
      </c>
    </row>
    <row r="19">
      <c r="A19" s="12" t="s">
        <v>126</v>
      </c>
      <c r="B19" s="12" t="s">
        <v>133</v>
      </c>
      <c r="C19" s="12"/>
      <c r="D19" s="12"/>
      <c r="E19" s="12"/>
      <c r="F19" s="12" t="str">
        <f t="shared" ref="F19:H19" si="9">IF(C19="","",IF(AND(C19&gt;=3500,C19&lt;=4000),"OK","OUT OF RANGE"))</f>
        <v/>
      </c>
      <c r="G19" s="12" t="str">
        <f t="shared" si="9"/>
        <v/>
      </c>
      <c r="H19" s="12" t="str">
        <f t="shared" si="9"/>
        <v/>
      </c>
    </row>
    <row r="20">
      <c r="A20" s="12" t="s">
        <v>134</v>
      </c>
      <c r="B20" s="12" t="s">
        <v>127</v>
      </c>
      <c r="C20" s="12"/>
      <c r="D20" s="12"/>
      <c r="E20" s="12"/>
      <c r="F20" s="12"/>
      <c r="G20" s="12"/>
      <c r="H20" s="12"/>
    </row>
    <row r="21" ht="15.75" customHeight="1">
      <c r="A21" s="12" t="s">
        <v>135</v>
      </c>
      <c r="B21" s="12" t="s">
        <v>136</v>
      </c>
      <c r="C21" s="12"/>
      <c r="D21" s="12"/>
      <c r="E21" s="12"/>
      <c r="F21" s="12" t="str">
        <f t="shared" ref="F21:H21" si="10">IF(C21="","",IF(AND(C21&gt;=300,C21&lt;=600),"OK","OUT OF RANGE"))</f>
        <v/>
      </c>
      <c r="G21" s="12" t="str">
        <f t="shared" si="10"/>
        <v/>
      </c>
      <c r="H21" s="12" t="str">
        <f t="shared" si="10"/>
        <v/>
      </c>
    </row>
    <row r="22" ht="15.75" customHeight="1">
      <c r="A22" s="12" t="s">
        <v>137</v>
      </c>
      <c r="B22" s="12" t="s">
        <v>138</v>
      </c>
      <c r="C22" s="12"/>
      <c r="D22" s="12"/>
      <c r="E22" s="12"/>
      <c r="F22" s="12" t="str">
        <f t="shared" ref="F22:H22" si="11">IF(C22="","",IF(AND(C22&gt;=15,C22&lt;=35),"OK","OUT OF RANGE"))</f>
        <v/>
      </c>
      <c r="G22" s="12" t="str">
        <f t="shared" si="11"/>
        <v/>
      </c>
      <c r="H22" s="12" t="str">
        <f t="shared" si="11"/>
        <v/>
      </c>
    </row>
    <row r="23" ht="15.75" customHeight="1">
      <c r="A23" s="23" t="s">
        <v>140</v>
      </c>
      <c r="B23" s="23"/>
      <c r="C23" s="23"/>
      <c r="D23" s="23"/>
      <c r="E23" s="23"/>
      <c r="F23" s="23"/>
      <c r="G23" s="23"/>
      <c r="H23" s="23"/>
    </row>
    <row r="24" ht="15.75" customHeight="1">
      <c r="A24" s="24" t="s">
        <v>141</v>
      </c>
      <c r="B24" s="24" t="s">
        <v>142</v>
      </c>
      <c r="C24" s="24" t="s">
        <v>143</v>
      </c>
      <c r="D24" s="24" t="s">
        <v>144</v>
      </c>
      <c r="E24" s="24" t="s">
        <v>30</v>
      </c>
      <c r="F24" s="12"/>
      <c r="G24" s="12"/>
      <c r="H24" s="12"/>
    </row>
    <row r="25" ht="15.75" customHeight="1">
      <c r="A25" s="12" t="s">
        <v>145</v>
      </c>
      <c r="B25" s="12" t="s">
        <v>146</v>
      </c>
      <c r="C25" s="12"/>
      <c r="D25" s="12"/>
      <c r="E25" s="12"/>
      <c r="F25" s="12"/>
      <c r="G25" s="12"/>
      <c r="H25" s="12"/>
    </row>
    <row r="26" ht="15.75" customHeight="1">
      <c r="A26" s="12" t="s">
        <v>147</v>
      </c>
      <c r="B26" s="12" t="s">
        <v>146</v>
      </c>
      <c r="C26" s="12"/>
      <c r="D26" s="12"/>
      <c r="E26" s="12"/>
      <c r="F26" s="12"/>
      <c r="G26" s="12"/>
      <c r="H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F7:H1000">
    <cfRule type="cellIs" dxfId="0" priority="1" operator="equal">
      <formula>"OUT OF RANGE"</formula>
    </cfRule>
  </conditionalFormatting>
  <conditionalFormatting sqref="F7:H1000">
    <cfRule type="cellIs" dxfId="1" priority="2" operator="equal">
      <formula>"OK"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6" width="19.25"/>
    <col customWidth="1" min="7" max="26" width="7.63"/>
  </cols>
  <sheetData>
    <row r="1">
      <c r="A1" s="1" t="s">
        <v>148</v>
      </c>
    </row>
    <row r="2">
      <c r="A2" s="20" t="s">
        <v>149</v>
      </c>
      <c r="C2" s="20" t="s">
        <v>150</v>
      </c>
    </row>
    <row r="4">
      <c r="A4" s="25" t="s">
        <v>151</v>
      </c>
      <c r="B4" s="25" t="s">
        <v>116</v>
      </c>
      <c r="C4" s="25" t="s">
        <v>152</v>
      </c>
      <c r="D4" s="25" t="s">
        <v>153</v>
      </c>
      <c r="E4" s="25" t="s">
        <v>30</v>
      </c>
      <c r="F4" s="25" t="s">
        <v>101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12" t="s">
        <v>154</v>
      </c>
      <c r="B5" s="12"/>
      <c r="C5" s="12"/>
      <c r="D5" s="12"/>
      <c r="E5" s="12"/>
      <c r="F5" s="12"/>
    </row>
    <row r="6">
      <c r="A6" s="14" t="s">
        <v>155</v>
      </c>
      <c r="B6" s="14"/>
      <c r="C6" s="14"/>
      <c r="D6" s="14"/>
      <c r="E6" s="14"/>
      <c r="F6" s="14"/>
    </row>
    <row r="7">
      <c r="A7" s="12" t="s">
        <v>156</v>
      </c>
      <c r="B7" s="12"/>
      <c r="C7" s="12"/>
      <c r="D7" s="12"/>
      <c r="E7" s="12"/>
      <c r="F7" s="12"/>
    </row>
    <row r="8">
      <c r="A8" s="14" t="s">
        <v>157</v>
      </c>
      <c r="B8" s="14"/>
      <c r="C8" s="14"/>
      <c r="D8" s="14"/>
      <c r="E8" s="14"/>
      <c r="F8" s="14"/>
    </row>
    <row r="9">
      <c r="A9" s="12" t="s">
        <v>158</v>
      </c>
      <c r="B9" s="12"/>
      <c r="C9" s="12"/>
      <c r="D9" s="12"/>
      <c r="E9" s="12"/>
      <c r="F9" s="12"/>
    </row>
    <row r="10">
      <c r="A10" s="14" t="s">
        <v>159</v>
      </c>
      <c r="B10" s="14"/>
      <c r="C10" s="14"/>
      <c r="D10" s="14"/>
      <c r="E10" s="14"/>
      <c r="F10" s="14"/>
    </row>
    <row r="11">
      <c r="A11" s="12" t="s">
        <v>160</v>
      </c>
      <c r="B11" s="12"/>
      <c r="C11" s="12"/>
      <c r="D11" s="12"/>
      <c r="E11" s="12"/>
      <c r="F11" s="12"/>
    </row>
    <row r="12">
      <c r="A12" s="14" t="s">
        <v>161</v>
      </c>
      <c r="B12" s="14"/>
      <c r="C12" s="14"/>
      <c r="D12" s="14"/>
      <c r="E12" s="14"/>
      <c r="F12" s="14"/>
    </row>
    <row r="13">
      <c r="A13" s="12" t="s">
        <v>162</v>
      </c>
      <c r="B13" s="12"/>
      <c r="C13" s="12"/>
      <c r="D13" s="12"/>
      <c r="E13" s="12"/>
      <c r="F13" s="12"/>
    </row>
    <row r="14">
      <c r="A14" s="14" t="s">
        <v>163</v>
      </c>
      <c r="B14" s="14"/>
      <c r="C14" s="14"/>
      <c r="D14" s="14"/>
      <c r="E14" s="14"/>
      <c r="F14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>
    <dataValidation type="list" allowBlank="1" sqref="E5:E14">
      <formula1>"OK,Attention,Critical"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8" width="14.0"/>
    <col customWidth="1" min="9" max="26" width="7.63"/>
  </cols>
  <sheetData>
    <row r="1">
      <c r="A1" s="1" t="s">
        <v>164</v>
      </c>
    </row>
    <row r="2">
      <c r="A2" s="20" t="s">
        <v>114</v>
      </c>
      <c r="C2" s="20" t="s">
        <v>165</v>
      </c>
      <c r="F2" s="20" t="s">
        <v>166</v>
      </c>
    </row>
    <row r="4">
      <c r="A4" s="27" t="s">
        <v>167</v>
      </c>
      <c r="B4" s="27" t="s">
        <v>168</v>
      </c>
      <c r="C4" s="27" t="s">
        <v>169</v>
      </c>
      <c r="D4" s="27" t="s">
        <v>170</v>
      </c>
      <c r="E4" s="27" t="s">
        <v>171</v>
      </c>
      <c r="F4" s="27" t="s">
        <v>172</v>
      </c>
      <c r="G4" s="27" t="s">
        <v>173</v>
      </c>
      <c r="H4" s="27" t="s">
        <v>101</v>
      </c>
    </row>
    <row r="5">
      <c r="A5" s="12" t="s">
        <v>174</v>
      </c>
      <c r="B5" s="12"/>
      <c r="C5" s="12"/>
      <c r="D5" s="12"/>
      <c r="E5" s="12"/>
      <c r="F5" s="12"/>
      <c r="G5" s="12"/>
      <c r="H5" s="12"/>
    </row>
    <row r="6">
      <c r="A6" s="14" t="s">
        <v>175</v>
      </c>
      <c r="B6" s="14"/>
      <c r="C6" s="14"/>
      <c r="D6" s="14"/>
      <c r="E6" s="14"/>
      <c r="F6" s="14"/>
      <c r="G6" s="14"/>
      <c r="H6" s="14"/>
    </row>
    <row r="7">
      <c r="A7" s="12" t="s">
        <v>176</v>
      </c>
      <c r="B7" s="12"/>
      <c r="C7" s="12"/>
      <c r="D7" s="12"/>
      <c r="E7" s="12"/>
      <c r="F7" s="12"/>
      <c r="G7" s="12"/>
      <c r="H7" s="12"/>
    </row>
    <row r="8">
      <c r="A8" s="14" t="s">
        <v>177</v>
      </c>
      <c r="B8" s="14"/>
      <c r="C8" s="14"/>
      <c r="D8" s="14"/>
      <c r="E8" s="14"/>
      <c r="F8" s="14"/>
      <c r="G8" s="14"/>
      <c r="H8" s="14"/>
    </row>
    <row r="9">
      <c r="A9" s="12" t="s">
        <v>178</v>
      </c>
      <c r="B9" s="12"/>
      <c r="C9" s="12"/>
      <c r="D9" s="12"/>
      <c r="E9" s="12"/>
      <c r="F9" s="12"/>
      <c r="G9" s="12"/>
      <c r="H9" s="12"/>
    </row>
    <row r="10">
      <c r="A10" s="14" t="s">
        <v>179</v>
      </c>
      <c r="B10" s="14"/>
      <c r="C10" s="14"/>
      <c r="D10" s="14"/>
      <c r="E10" s="14"/>
      <c r="F10" s="14"/>
      <c r="G10" s="14"/>
      <c r="H10" s="14"/>
    </row>
    <row r="11">
      <c r="A11" s="12" t="s">
        <v>180</v>
      </c>
      <c r="B11" s="12"/>
      <c r="C11" s="12"/>
      <c r="D11" s="12"/>
      <c r="E11" s="12"/>
      <c r="F11" s="12"/>
      <c r="G11" s="12"/>
      <c r="H11" s="12"/>
    </row>
    <row r="12">
      <c r="A12" s="14" t="s">
        <v>181</v>
      </c>
      <c r="B12" s="14"/>
      <c r="C12" s="14"/>
      <c r="D12" s="14"/>
      <c r="E12" s="14"/>
      <c r="F12" s="14"/>
      <c r="G12" s="14"/>
      <c r="H12" s="14"/>
    </row>
    <row r="13">
      <c r="A13" s="12" t="s">
        <v>182</v>
      </c>
      <c r="B13" s="12"/>
      <c r="C13" s="12"/>
      <c r="D13" s="12"/>
      <c r="E13" s="12"/>
      <c r="F13" s="12"/>
      <c r="G13" s="12"/>
      <c r="H13" s="12"/>
    </row>
    <row r="14">
      <c r="A14" s="14" t="s">
        <v>183</v>
      </c>
      <c r="B14" s="14"/>
      <c r="C14" s="14"/>
      <c r="D14" s="14"/>
      <c r="E14" s="14"/>
      <c r="F14" s="14"/>
      <c r="G14" s="14"/>
      <c r="H14" s="14"/>
    </row>
    <row r="15">
      <c r="A15" s="12" t="s">
        <v>184</v>
      </c>
      <c r="B15" s="12"/>
      <c r="C15" s="12"/>
      <c r="D15" s="12"/>
      <c r="E15" s="12"/>
      <c r="F15" s="12"/>
      <c r="G15" s="12"/>
      <c r="H15" s="12"/>
    </row>
    <row r="16">
      <c r="A16" s="14" t="s">
        <v>185</v>
      </c>
      <c r="B16" s="14"/>
      <c r="C16" s="14"/>
      <c r="D16" s="14"/>
      <c r="E16" s="14"/>
      <c r="F16" s="14"/>
      <c r="G16" s="14"/>
      <c r="H16" s="14"/>
    </row>
    <row r="17">
      <c r="A17" s="12" t="s">
        <v>186</v>
      </c>
      <c r="B17" s="12"/>
      <c r="C17" s="12"/>
      <c r="D17" s="12"/>
      <c r="E17" s="12"/>
      <c r="F17" s="12"/>
      <c r="G17" s="12"/>
      <c r="H17" s="12"/>
    </row>
    <row r="18">
      <c r="A18" s="14" t="s">
        <v>187</v>
      </c>
      <c r="B18" s="14"/>
      <c r="C18" s="14"/>
      <c r="D18" s="14"/>
      <c r="E18" s="14"/>
      <c r="F18" s="14"/>
      <c r="G18" s="14"/>
      <c r="H18" s="14"/>
    </row>
    <row r="19">
      <c r="A19" s="12" t="s">
        <v>188</v>
      </c>
      <c r="B19" s="12"/>
      <c r="C19" s="12"/>
      <c r="D19" s="12"/>
      <c r="E19" s="12"/>
      <c r="F19" s="12"/>
      <c r="G19" s="12"/>
      <c r="H19" s="12"/>
    </row>
    <row r="20">
      <c r="A20" s="14" t="s">
        <v>189</v>
      </c>
      <c r="B20" s="14"/>
      <c r="C20" s="14"/>
      <c r="D20" s="14"/>
      <c r="E20" s="14"/>
      <c r="F20" s="14"/>
      <c r="G20" s="14"/>
      <c r="H20" s="14"/>
    </row>
    <row r="21" ht="15.75" customHeight="1">
      <c r="A21" s="12" t="s">
        <v>190</v>
      </c>
      <c r="B21" s="12"/>
      <c r="C21" s="12"/>
      <c r="D21" s="12"/>
      <c r="E21" s="12"/>
      <c r="F21" s="12"/>
      <c r="G21" s="12"/>
      <c r="H21" s="12"/>
    </row>
    <row r="22" ht="15.75" customHeight="1">
      <c r="A22" s="14" t="s">
        <v>191</v>
      </c>
      <c r="B22" s="14"/>
      <c r="C22" s="14"/>
      <c r="D22" s="14"/>
      <c r="E22" s="14"/>
      <c r="F22" s="14"/>
      <c r="G22" s="14"/>
      <c r="H22" s="14"/>
    </row>
    <row r="23" ht="15.75" customHeight="1">
      <c r="A23" s="12" t="s">
        <v>192</v>
      </c>
      <c r="B23" s="12"/>
      <c r="C23" s="12"/>
      <c r="D23" s="12"/>
      <c r="E23" s="12"/>
      <c r="F23" s="12"/>
      <c r="G23" s="12"/>
      <c r="H23" s="12"/>
    </row>
    <row r="24" ht="15.75" customHeight="1">
      <c r="A24" s="14" t="s">
        <v>193</v>
      </c>
      <c r="B24" s="14"/>
      <c r="C24" s="14"/>
      <c r="D24" s="14"/>
      <c r="E24" s="14"/>
      <c r="F24" s="14"/>
      <c r="G24" s="14"/>
      <c r="H24" s="14"/>
    </row>
    <row r="25" ht="15.75" customHeight="1">
      <c r="A25" s="12" t="s">
        <v>194</v>
      </c>
      <c r="B25" s="12"/>
      <c r="C25" s="12"/>
      <c r="D25" s="12"/>
      <c r="E25" s="12"/>
      <c r="F25" s="12"/>
      <c r="G25" s="12"/>
      <c r="H25" s="12"/>
    </row>
    <row r="26" ht="15.75" customHeight="1">
      <c r="A26" s="14" t="s">
        <v>195</v>
      </c>
      <c r="B26" s="14"/>
      <c r="C26" s="14"/>
      <c r="D26" s="14"/>
      <c r="E26" s="14"/>
      <c r="F26" s="14"/>
      <c r="G26" s="14"/>
      <c r="H26" s="14"/>
    </row>
    <row r="27" ht="15.75" customHeight="1">
      <c r="A27" s="12" t="s">
        <v>196</v>
      </c>
      <c r="B27" s="12"/>
      <c r="C27" s="12"/>
      <c r="D27" s="12"/>
      <c r="E27" s="12"/>
      <c r="F27" s="12"/>
      <c r="G27" s="12"/>
      <c r="H27" s="12"/>
    </row>
    <row r="28" ht="15.75" customHeight="1">
      <c r="A28" s="14" t="s">
        <v>197</v>
      </c>
      <c r="B28" s="14"/>
      <c r="C28" s="14"/>
      <c r="D28" s="14"/>
      <c r="E28" s="14"/>
      <c r="F28" s="14"/>
      <c r="G28" s="14"/>
      <c r="H28" s="1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6" width="19.25"/>
    <col customWidth="1" min="7" max="26" width="7.63"/>
  </cols>
  <sheetData>
    <row r="1">
      <c r="A1" s="1" t="s">
        <v>198</v>
      </c>
    </row>
    <row r="2">
      <c r="A2" s="16" t="s">
        <v>199</v>
      </c>
    </row>
    <row r="3">
      <c r="A3" s="20" t="s">
        <v>114</v>
      </c>
      <c r="C3" s="20" t="s">
        <v>200</v>
      </c>
    </row>
    <row r="5">
      <c r="A5" s="25" t="s">
        <v>151</v>
      </c>
      <c r="B5" s="25" t="s">
        <v>201</v>
      </c>
      <c r="C5" s="25" t="s">
        <v>48</v>
      </c>
      <c r="D5" s="25" t="s">
        <v>53</v>
      </c>
      <c r="E5" s="25" t="s">
        <v>30</v>
      </c>
      <c r="F5" s="25" t="s">
        <v>101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12" t="s">
        <v>202</v>
      </c>
      <c r="B6" s="12" t="s">
        <v>203</v>
      </c>
      <c r="C6" s="28" t="s">
        <v>204</v>
      </c>
      <c r="D6" s="12"/>
      <c r="E6" s="12"/>
      <c r="F6" s="12"/>
    </row>
    <row r="7">
      <c r="A7" s="14" t="s">
        <v>205</v>
      </c>
      <c r="B7" s="14" t="s">
        <v>203</v>
      </c>
      <c r="C7" s="14"/>
      <c r="D7" s="14"/>
      <c r="E7" s="14"/>
      <c r="F7" s="14"/>
    </row>
    <row r="8">
      <c r="A8" s="12" t="s">
        <v>206</v>
      </c>
      <c r="B8" s="12" t="s">
        <v>207</v>
      </c>
      <c r="C8" s="12"/>
      <c r="D8" s="12"/>
      <c r="E8" s="12"/>
      <c r="F8" s="12"/>
    </row>
    <row r="9">
      <c r="A9" s="14" t="s">
        <v>208</v>
      </c>
      <c r="B9" s="14" t="s">
        <v>209</v>
      </c>
      <c r="C9" s="14"/>
      <c r="D9" s="14"/>
      <c r="E9" s="14"/>
      <c r="F9" s="14"/>
    </row>
    <row r="10">
      <c r="A10" s="12" t="s">
        <v>210</v>
      </c>
      <c r="B10" s="12" t="s">
        <v>207</v>
      </c>
      <c r="C10" s="12"/>
      <c r="D10" s="12"/>
      <c r="E10" s="12"/>
      <c r="F10" s="12"/>
    </row>
    <row r="11">
      <c r="A11" s="14" t="s">
        <v>211</v>
      </c>
      <c r="B11" s="14" t="s">
        <v>209</v>
      </c>
      <c r="C11" s="14"/>
      <c r="D11" s="14"/>
      <c r="E11" s="14"/>
      <c r="F11" s="14"/>
    </row>
    <row r="12">
      <c r="A12" s="12" t="s">
        <v>212</v>
      </c>
      <c r="B12" s="12" t="s">
        <v>207</v>
      </c>
      <c r="C12" s="12"/>
      <c r="D12" s="12"/>
      <c r="E12" s="12"/>
      <c r="F12" s="12"/>
    </row>
    <row r="13">
      <c r="A13" s="14" t="s">
        <v>213</v>
      </c>
      <c r="B13" s="14" t="s">
        <v>209</v>
      </c>
      <c r="C13" s="14"/>
      <c r="D13" s="14"/>
      <c r="E13" s="14"/>
      <c r="F13" s="14"/>
    </row>
    <row r="14">
      <c r="A14" s="12" t="s">
        <v>214</v>
      </c>
      <c r="B14" s="12" t="s">
        <v>207</v>
      </c>
      <c r="C14" s="12"/>
      <c r="D14" s="12"/>
      <c r="E14" s="12"/>
      <c r="F14" s="12"/>
    </row>
    <row r="15">
      <c r="A15" s="14" t="s">
        <v>215</v>
      </c>
      <c r="B15" s="14" t="s">
        <v>209</v>
      </c>
      <c r="C15" s="14"/>
      <c r="D15" s="14"/>
      <c r="E15" s="14"/>
      <c r="F15" s="14"/>
    </row>
    <row r="16">
      <c r="A16" s="12" t="s">
        <v>216</v>
      </c>
      <c r="B16" s="12" t="s">
        <v>30</v>
      </c>
      <c r="C16" s="12"/>
      <c r="D16" s="12"/>
      <c r="E16" s="12"/>
      <c r="F16" s="12"/>
    </row>
    <row r="17">
      <c r="A17" s="14" t="s">
        <v>217</v>
      </c>
      <c r="B17" s="14" t="s">
        <v>207</v>
      </c>
      <c r="C17" s="14"/>
      <c r="D17" s="14"/>
      <c r="E17" s="14"/>
      <c r="F17" s="14"/>
    </row>
    <row r="18">
      <c r="A18" s="12" t="s">
        <v>218</v>
      </c>
      <c r="B18" s="12" t="s">
        <v>209</v>
      </c>
      <c r="C18" s="12"/>
      <c r="D18" s="12"/>
      <c r="E18" s="12"/>
      <c r="F18" s="12"/>
    </row>
    <row r="19">
      <c r="A19" s="14" t="s">
        <v>219</v>
      </c>
      <c r="B19" s="14" t="s">
        <v>101</v>
      </c>
      <c r="C19" s="14"/>
      <c r="D19" s="14"/>
      <c r="E19" s="14"/>
      <c r="F19" s="14"/>
    </row>
    <row r="20">
      <c r="A20" s="12" t="s">
        <v>220</v>
      </c>
      <c r="B20" s="12" t="s">
        <v>221</v>
      </c>
      <c r="C20" s="12"/>
      <c r="D20" s="12"/>
      <c r="E20" s="12"/>
      <c r="F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qref="C6:D7">
      <formula1>"ON,OFF"</formula1>
    </dataValidation>
    <dataValidation type="list" allowBlank="1" sqref="E6:E20">
      <formula1>"OK,Attention,Critical"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8" width="19.25"/>
    <col customWidth="1" min="9" max="26" width="7.63"/>
  </cols>
  <sheetData>
    <row r="1">
      <c r="A1" s="1" t="s">
        <v>222</v>
      </c>
    </row>
    <row r="2">
      <c r="A2" s="16" t="s">
        <v>223</v>
      </c>
    </row>
    <row r="3">
      <c r="A3" s="20" t="s">
        <v>114</v>
      </c>
    </row>
    <row r="4">
      <c r="A4" s="27" t="s">
        <v>224</v>
      </c>
      <c r="B4" s="27" t="s">
        <v>225</v>
      </c>
      <c r="C4" s="27" t="s">
        <v>226</v>
      </c>
      <c r="D4" s="27" t="s">
        <v>227</v>
      </c>
      <c r="E4" s="27" t="s">
        <v>228</v>
      </c>
      <c r="F4" s="27" t="s">
        <v>229</v>
      </c>
      <c r="G4" s="27" t="s">
        <v>230</v>
      </c>
      <c r="H4" s="27" t="s">
        <v>101</v>
      </c>
    </row>
    <row r="5">
      <c r="A5" s="12" t="s">
        <v>231</v>
      </c>
      <c r="B5" s="12" t="s">
        <v>232</v>
      </c>
      <c r="C5" s="12" t="s">
        <v>233</v>
      </c>
      <c r="D5" s="12"/>
      <c r="E5" s="12"/>
      <c r="F5" s="12"/>
      <c r="G5" s="12"/>
      <c r="H5" s="12"/>
    </row>
    <row r="6">
      <c r="A6" s="14" t="s">
        <v>231</v>
      </c>
      <c r="B6" s="14" t="s">
        <v>57</v>
      </c>
      <c r="C6" s="14" t="s">
        <v>233</v>
      </c>
      <c r="D6" s="14"/>
      <c r="E6" s="14"/>
      <c r="F6" s="14"/>
      <c r="G6" s="14"/>
      <c r="H6" s="14"/>
    </row>
    <row r="7">
      <c r="A7" s="12" t="s">
        <v>234</v>
      </c>
      <c r="B7" s="12" t="s">
        <v>232</v>
      </c>
      <c r="C7" s="12" t="s">
        <v>233</v>
      </c>
      <c r="D7" s="12"/>
      <c r="E7" s="12"/>
      <c r="F7" s="12"/>
      <c r="G7" s="12"/>
      <c r="H7" s="12"/>
    </row>
    <row r="8">
      <c r="A8" s="14" t="s">
        <v>234</v>
      </c>
      <c r="B8" s="14" t="s">
        <v>235</v>
      </c>
      <c r="C8" s="14" t="s">
        <v>233</v>
      </c>
      <c r="D8" s="14"/>
      <c r="E8" s="14"/>
      <c r="F8" s="14"/>
      <c r="G8" s="14"/>
      <c r="H8" s="14"/>
    </row>
    <row r="9">
      <c r="A9" s="12" t="s">
        <v>234</v>
      </c>
      <c r="B9" s="12" t="s">
        <v>236</v>
      </c>
      <c r="C9" s="12" t="s">
        <v>233</v>
      </c>
      <c r="D9" s="12"/>
      <c r="E9" s="12"/>
      <c r="F9" s="12"/>
      <c r="G9" s="12"/>
      <c r="H9" s="12"/>
    </row>
    <row r="10">
      <c r="A10" s="14" t="s">
        <v>237</v>
      </c>
      <c r="B10" s="14" t="s">
        <v>238</v>
      </c>
      <c r="C10" s="14" t="s">
        <v>233</v>
      </c>
      <c r="D10" s="14"/>
      <c r="E10" s="14"/>
      <c r="F10" s="14"/>
      <c r="G10" s="14"/>
      <c r="H10" s="14"/>
    </row>
    <row r="11">
      <c r="A11" s="12" t="s">
        <v>237</v>
      </c>
      <c r="B11" s="12" t="s">
        <v>239</v>
      </c>
      <c r="C11" s="12" t="s">
        <v>233</v>
      </c>
      <c r="D11" s="12"/>
      <c r="E11" s="12"/>
      <c r="F11" s="12"/>
      <c r="G11" s="12"/>
      <c r="H11" s="12"/>
    </row>
    <row r="12">
      <c r="A12" s="14" t="s">
        <v>237</v>
      </c>
      <c r="B12" s="14" t="s">
        <v>240</v>
      </c>
      <c r="C12" s="14" t="s">
        <v>233</v>
      </c>
      <c r="D12" s="14"/>
      <c r="E12" s="14"/>
      <c r="F12" s="14"/>
      <c r="G12" s="14"/>
      <c r="H12" s="14"/>
    </row>
    <row r="13">
      <c r="A13" s="12" t="s">
        <v>241</v>
      </c>
      <c r="B13" s="12" t="s">
        <v>242</v>
      </c>
      <c r="C13" s="12" t="s">
        <v>233</v>
      </c>
      <c r="D13" s="12"/>
      <c r="E13" s="12"/>
      <c r="F13" s="12"/>
      <c r="G13" s="12"/>
      <c r="H13" s="12"/>
    </row>
    <row r="14">
      <c r="A14" s="14" t="s">
        <v>241</v>
      </c>
      <c r="B14" s="14" t="s">
        <v>239</v>
      </c>
      <c r="C14" s="14" t="s">
        <v>233</v>
      </c>
      <c r="D14" s="14"/>
      <c r="E14" s="14"/>
      <c r="F14" s="14"/>
      <c r="G14" s="14"/>
      <c r="H14" s="14"/>
    </row>
    <row r="15">
      <c r="A15" s="12" t="s">
        <v>241</v>
      </c>
      <c r="B15" s="12" t="s">
        <v>236</v>
      </c>
      <c r="C15" s="12" t="s">
        <v>233</v>
      </c>
      <c r="D15" s="12"/>
      <c r="E15" s="12"/>
      <c r="F15" s="12"/>
      <c r="G15" s="12"/>
      <c r="H15" s="12"/>
    </row>
    <row r="16">
      <c r="A16" s="14" t="s">
        <v>241</v>
      </c>
      <c r="B16" s="14" t="s">
        <v>243</v>
      </c>
      <c r="C16" s="14" t="s">
        <v>233</v>
      </c>
      <c r="D16" s="14"/>
      <c r="E16" s="14"/>
      <c r="F16" s="14"/>
      <c r="G16" s="14"/>
      <c r="H16" s="14"/>
    </row>
    <row r="17">
      <c r="A17" s="12" t="s">
        <v>244</v>
      </c>
      <c r="B17" s="12" t="s">
        <v>240</v>
      </c>
      <c r="C17" s="12" t="s">
        <v>233</v>
      </c>
      <c r="D17" s="12"/>
      <c r="E17" s="12"/>
      <c r="F17" s="12"/>
      <c r="G17" s="12"/>
      <c r="H17" s="12"/>
    </row>
    <row r="18">
      <c r="A18" s="14" t="s">
        <v>244</v>
      </c>
      <c r="B18" s="14" t="s">
        <v>239</v>
      </c>
      <c r="C18" s="14" t="s">
        <v>233</v>
      </c>
      <c r="D18" s="14"/>
      <c r="E18" s="14"/>
      <c r="F18" s="14"/>
      <c r="G18" s="14"/>
      <c r="H18" s="14"/>
    </row>
    <row r="19">
      <c r="A19" s="12" t="s">
        <v>245</v>
      </c>
      <c r="B19" s="12" t="s">
        <v>246</v>
      </c>
      <c r="C19" s="12" t="s">
        <v>233</v>
      </c>
      <c r="D19" s="12"/>
      <c r="E19" s="12"/>
      <c r="F19" s="12"/>
      <c r="G19" s="12"/>
      <c r="H19" s="12"/>
    </row>
    <row r="20">
      <c r="A20" s="14" t="s">
        <v>76</v>
      </c>
      <c r="B20" s="14" t="s">
        <v>247</v>
      </c>
      <c r="C20" s="14" t="s">
        <v>233</v>
      </c>
      <c r="D20" s="14"/>
      <c r="E20" s="14"/>
      <c r="F20" s="14"/>
      <c r="G20" s="14"/>
      <c r="H20" s="14"/>
    </row>
    <row r="21" ht="15.75" customHeight="1">
      <c r="A21" s="12" t="s">
        <v>36</v>
      </c>
      <c r="B21" s="12" t="s">
        <v>72</v>
      </c>
      <c r="C21" s="12" t="s">
        <v>233</v>
      </c>
      <c r="D21" s="12"/>
      <c r="E21" s="12"/>
      <c r="F21" s="12"/>
      <c r="G21" s="12"/>
      <c r="H21" s="12"/>
    </row>
    <row r="22" ht="15.75" customHeight="1">
      <c r="A22" s="14" t="s">
        <v>80</v>
      </c>
      <c r="B22" s="14" t="s">
        <v>72</v>
      </c>
      <c r="C22" s="14" t="s">
        <v>233</v>
      </c>
      <c r="D22" s="14"/>
      <c r="E22" s="14"/>
      <c r="F22" s="14"/>
      <c r="G22" s="14"/>
      <c r="H22" s="14"/>
    </row>
    <row r="23" ht="15.75" customHeight="1">
      <c r="A23" s="12" t="s">
        <v>83</v>
      </c>
      <c r="B23" s="12" t="s">
        <v>72</v>
      </c>
      <c r="C23" s="12" t="s">
        <v>233</v>
      </c>
      <c r="D23" s="12"/>
      <c r="E23" s="12"/>
      <c r="F23" s="12"/>
      <c r="G23" s="12"/>
      <c r="H23" s="12"/>
    </row>
    <row r="24" ht="15.75" customHeight="1">
      <c r="A24" s="14" t="s">
        <v>248</v>
      </c>
      <c r="B24" s="14" t="s">
        <v>72</v>
      </c>
      <c r="C24" s="14" t="s">
        <v>233</v>
      </c>
      <c r="D24" s="14"/>
      <c r="E24" s="14"/>
      <c r="F24" s="14"/>
      <c r="G24" s="14"/>
      <c r="H24" s="14"/>
    </row>
    <row r="25" ht="15.75" customHeight="1">
      <c r="A25" s="12" t="s">
        <v>90</v>
      </c>
      <c r="B25" s="12" t="s">
        <v>72</v>
      </c>
      <c r="C25" s="12" t="s">
        <v>233</v>
      </c>
      <c r="D25" s="12"/>
      <c r="E25" s="12"/>
      <c r="F25" s="12"/>
      <c r="G25" s="12"/>
      <c r="H25" s="12"/>
    </row>
    <row r="26" ht="15.75" customHeight="1">
      <c r="A26" s="14"/>
      <c r="B26" s="14" t="s">
        <v>249</v>
      </c>
      <c r="C26" s="14"/>
      <c r="D26" s="14"/>
      <c r="E26" s="14"/>
      <c r="F26" s="14"/>
      <c r="G26" s="14"/>
      <c r="H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E5:E26">
    <cfRule type="cellIs" dxfId="0" priority="1" operator="equal">
      <formula>"Yes"</formula>
    </cfRule>
  </conditionalFormatting>
  <conditionalFormatting sqref="E5:E26">
    <cfRule type="cellIs" dxfId="1" priority="2" operator="equal">
      <formula>"No"</formula>
    </cfRule>
  </conditionalFormatting>
  <dataValidations>
    <dataValidation type="list" allowBlank="1" sqref="E5:E26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25"/>
    <col customWidth="1" min="2" max="2" width="48.13"/>
    <col customWidth="1" min="3" max="6" width="19.25"/>
    <col customWidth="1" min="7" max="26" width="7.63"/>
  </cols>
  <sheetData>
    <row r="1">
      <c r="A1" s="1" t="s">
        <v>250</v>
      </c>
    </row>
    <row r="2">
      <c r="A2" s="16" t="s">
        <v>251</v>
      </c>
    </row>
    <row r="3">
      <c r="A3" s="20" t="s">
        <v>114</v>
      </c>
      <c r="C3" s="20" t="s">
        <v>252</v>
      </c>
    </row>
    <row r="5">
      <c r="A5" s="27" t="s">
        <v>253</v>
      </c>
      <c r="B5" s="27" t="s">
        <v>151</v>
      </c>
      <c r="C5" s="27" t="s">
        <v>30</v>
      </c>
      <c r="D5" s="27" t="s">
        <v>254</v>
      </c>
      <c r="E5" s="27" t="s">
        <v>229</v>
      </c>
      <c r="F5" s="27" t="s">
        <v>97</v>
      </c>
    </row>
    <row r="6">
      <c r="A6" s="23" t="s">
        <v>255</v>
      </c>
      <c r="B6" s="23"/>
      <c r="C6" s="23"/>
      <c r="D6" s="23"/>
      <c r="E6" s="23"/>
      <c r="F6" s="23"/>
    </row>
    <row r="7">
      <c r="A7" s="12" t="s">
        <v>256</v>
      </c>
      <c r="B7" s="12" t="s">
        <v>257</v>
      </c>
      <c r="C7" s="28" t="s">
        <v>258</v>
      </c>
      <c r="D7" s="12"/>
      <c r="E7" s="12"/>
      <c r="F7" s="12"/>
    </row>
    <row r="8">
      <c r="A8" s="12" t="s">
        <v>259</v>
      </c>
      <c r="B8" s="12" t="s">
        <v>260</v>
      </c>
      <c r="C8" s="12"/>
      <c r="D8" s="12"/>
      <c r="E8" s="12"/>
      <c r="F8" s="12"/>
    </row>
    <row r="9">
      <c r="A9" s="12" t="s">
        <v>261</v>
      </c>
      <c r="B9" s="12" t="s">
        <v>262</v>
      </c>
      <c r="C9" s="12"/>
      <c r="D9" s="12"/>
      <c r="E9" s="12"/>
      <c r="F9" s="12"/>
    </row>
    <row r="10">
      <c r="A10" s="12" t="s">
        <v>263</v>
      </c>
      <c r="B10" s="12" t="s">
        <v>264</v>
      </c>
      <c r="C10" s="12"/>
      <c r="D10" s="12"/>
      <c r="E10" s="12"/>
      <c r="F10" s="12"/>
    </row>
    <row r="11">
      <c r="A11" s="12" t="s">
        <v>265</v>
      </c>
      <c r="B11" s="12" t="s">
        <v>266</v>
      </c>
      <c r="C11" s="12"/>
      <c r="D11" s="12"/>
      <c r="E11" s="12"/>
      <c r="F11" s="12"/>
    </row>
    <row r="12">
      <c r="A12" s="23" t="s">
        <v>267</v>
      </c>
      <c r="B12" s="23"/>
      <c r="C12" s="23"/>
      <c r="D12" s="23"/>
      <c r="E12" s="23"/>
      <c r="F12" s="23"/>
    </row>
    <row r="13">
      <c r="A13" s="12" t="s">
        <v>268</v>
      </c>
      <c r="B13" s="12" t="s">
        <v>269</v>
      </c>
      <c r="C13" s="12"/>
      <c r="D13" s="12"/>
      <c r="E13" s="12"/>
      <c r="F13" s="12"/>
    </row>
    <row r="14">
      <c r="A14" s="12" t="s">
        <v>270</v>
      </c>
      <c r="B14" s="12" t="s">
        <v>271</v>
      </c>
      <c r="C14" s="12"/>
      <c r="D14" s="12"/>
      <c r="E14" s="12"/>
      <c r="F14" s="12"/>
    </row>
    <row r="15">
      <c r="A15" s="12" t="s">
        <v>272</v>
      </c>
      <c r="B15" s="12" t="s">
        <v>273</v>
      </c>
      <c r="C15" s="12"/>
      <c r="D15" s="12"/>
      <c r="E15" s="12"/>
      <c r="F15" s="12"/>
    </row>
    <row r="16">
      <c r="A16" s="12" t="s">
        <v>274</v>
      </c>
      <c r="B16" s="12" t="s">
        <v>275</v>
      </c>
      <c r="C16" s="12"/>
      <c r="D16" s="12"/>
      <c r="E16" s="12"/>
      <c r="F16" s="12"/>
    </row>
    <row r="17">
      <c r="A17" s="23" t="s">
        <v>276</v>
      </c>
      <c r="B17" s="23"/>
      <c r="C17" s="23"/>
      <c r="D17" s="23"/>
      <c r="E17" s="23"/>
      <c r="F17" s="23"/>
    </row>
    <row r="18">
      <c r="A18" s="12" t="s">
        <v>277</v>
      </c>
      <c r="B18" s="12" t="s">
        <v>278</v>
      </c>
      <c r="C18" s="12"/>
      <c r="D18" s="12"/>
      <c r="E18" s="12"/>
      <c r="F18" s="12"/>
    </row>
    <row r="19">
      <c r="A19" s="12" t="s">
        <v>279</v>
      </c>
      <c r="B19" s="12" t="s">
        <v>280</v>
      </c>
      <c r="C19" s="12"/>
      <c r="D19" s="12"/>
      <c r="E19" s="12"/>
      <c r="F19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C7:C19">
    <cfRule type="cellIs" dxfId="0" priority="1" operator="equal">
      <formula>"Needs Repair"</formula>
    </cfRule>
  </conditionalFormatting>
  <conditionalFormatting sqref="C7:C19">
    <cfRule type="cellIs" dxfId="1" priority="2" operator="equal">
      <formula>"OK"</formula>
    </cfRule>
  </conditionalFormatting>
  <dataValidations>
    <dataValidation type="list" allowBlank="1" sqref="C7:C19">
      <formula1>"OK,Needs Repair,N/A"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9" width="17.5"/>
    <col customWidth="1" min="10" max="26" width="7.63"/>
  </cols>
  <sheetData>
    <row r="1">
      <c r="A1" s="1" t="s">
        <v>281</v>
      </c>
    </row>
    <row r="3" ht="14.25" customHeight="1">
      <c r="A3" s="25" t="s">
        <v>23</v>
      </c>
      <c r="B3" s="25" t="s">
        <v>282</v>
      </c>
      <c r="C3" s="25" t="s">
        <v>142</v>
      </c>
      <c r="D3" s="25" t="s">
        <v>283</v>
      </c>
      <c r="E3" s="25" t="s">
        <v>284</v>
      </c>
      <c r="F3" s="25" t="s">
        <v>32</v>
      </c>
      <c r="G3" s="25" t="s">
        <v>285</v>
      </c>
      <c r="H3" s="25" t="s">
        <v>30</v>
      </c>
      <c r="I3" s="25" t="s">
        <v>286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12" t="s">
        <v>33</v>
      </c>
      <c r="B4" s="12" t="s">
        <v>287</v>
      </c>
      <c r="C4" s="12" t="s">
        <v>288</v>
      </c>
      <c r="D4" s="12" t="s">
        <v>289</v>
      </c>
      <c r="E4" s="12"/>
      <c r="F4" s="12"/>
      <c r="G4" s="12" t="s">
        <v>290</v>
      </c>
      <c r="H4" s="12" t="str">
        <f t="shared" ref="H4:H18" si="1">IF(F4="","No Data",IF(F4&lt;TODAY(),"Overdue","On Track"))</f>
        <v>No Data</v>
      </c>
      <c r="I4" s="12" t="str">
        <f t="shared" ref="I4:I18" si="2">IF(F4="","",F4-TODAY())</f>
        <v/>
      </c>
    </row>
    <row r="5">
      <c r="A5" s="14" t="s">
        <v>33</v>
      </c>
      <c r="B5" s="14" t="s">
        <v>291</v>
      </c>
      <c r="C5" s="14" t="s">
        <v>288</v>
      </c>
      <c r="D5" s="14" t="s">
        <v>289</v>
      </c>
      <c r="E5" s="14"/>
      <c r="F5" s="14"/>
      <c r="G5" s="14" t="s">
        <v>290</v>
      </c>
      <c r="H5" s="14" t="str">
        <f t="shared" si="1"/>
        <v>No Data</v>
      </c>
      <c r="I5" s="14" t="str">
        <f t="shared" si="2"/>
        <v/>
      </c>
    </row>
    <row r="6">
      <c r="A6" s="12" t="s">
        <v>39</v>
      </c>
      <c r="B6" s="12" t="s">
        <v>287</v>
      </c>
      <c r="C6" s="12" t="s">
        <v>288</v>
      </c>
      <c r="D6" s="12" t="s">
        <v>289</v>
      </c>
      <c r="E6" s="12"/>
      <c r="F6" s="12"/>
      <c r="G6" s="12" t="s">
        <v>290</v>
      </c>
      <c r="H6" s="12" t="str">
        <f t="shared" si="1"/>
        <v>No Data</v>
      </c>
      <c r="I6" s="12" t="str">
        <f t="shared" si="2"/>
        <v/>
      </c>
    </row>
    <row r="7">
      <c r="A7" s="14" t="s">
        <v>39</v>
      </c>
      <c r="B7" s="14" t="s">
        <v>291</v>
      </c>
      <c r="C7" s="14" t="s">
        <v>288</v>
      </c>
      <c r="D7" s="14" t="s">
        <v>289</v>
      </c>
      <c r="E7" s="14"/>
      <c r="F7" s="14"/>
      <c r="G7" s="14" t="s">
        <v>290</v>
      </c>
      <c r="H7" s="14" t="str">
        <f t="shared" si="1"/>
        <v>No Data</v>
      </c>
      <c r="I7" s="14" t="str">
        <f t="shared" si="2"/>
        <v/>
      </c>
    </row>
    <row r="8">
      <c r="A8" s="12" t="s">
        <v>41</v>
      </c>
      <c r="B8" s="12" t="s">
        <v>292</v>
      </c>
      <c r="C8" s="12" t="s">
        <v>146</v>
      </c>
      <c r="D8" s="12" t="s">
        <v>293</v>
      </c>
      <c r="E8" s="12"/>
      <c r="F8" s="12"/>
      <c r="G8" s="12" t="s">
        <v>294</v>
      </c>
      <c r="H8" s="12" t="str">
        <f t="shared" si="1"/>
        <v>No Data</v>
      </c>
      <c r="I8" s="12" t="str">
        <f t="shared" si="2"/>
        <v/>
      </c>
    </row>
    <row r="9">
      <c r="A9" s="14" t="s">
        <v>46</v>
      </c>
      <c r="B9" s="14" t="s">
        <v>292</v>
      </c>
      <c r="C9" s="14" t="s">
        <v>146</v>
      </c>
      <c r="D9" s="14" t="s">
        <v>293</v>
      </c>
      <c r="E9" s="14"/>
      <c r="F9" s="14"/>
      <c r="G9" s="14" t="s">
        <v>294</v>
      </c>
      <c r="H9" s="14" t="str">
        <f t="shared" si="1"/>
        <v>No Data</v>
      </c>
      <c r="I9" s="14" t="str">
        <f t="shared" si="2"/>
        <v/>
      </c>
    </row>
    <row r="10">
      <c r="A10" s="12" t="s">
        <v>48</v>
      </c>
      <c r="B10" s="12" t="s">
        <v>295</v>
      </c>
      <c r="C10" s="12" t="s">
        <v>146</v>
      </c>
      <c r="D10" s="12" t="s">
        <v>293</v>
      </c>
      <c r="E10" s="12"/>
      <c r="F10" s="12"/>
      <c r="G10" s="12" t="s">
        <v>290</v>
      </c>
      <c r="H10" s="12" t="str">
        <f t="shared" si="1"/>
        <v>No Data</v>
      </c>
      <c r="I10" s="12" t="str">
        <f t="shared" si="2"/>
        <v/>
      </c>
    </row>
    <row r="11">
      <c r="A11" s="14" t="s">
        <v>53</v>
      </c>
      <c r="B11" s="14" t="s">
        <v>295</v>
      </c>
      <c r="C11" s="14" t="s">
        <v>146</v>
      </c>
      <c r="D11" s="14" t="s">
        <v>293</v>
      </c>
      <c r="E11" s="14"/>
      <c r="F11" s="14"/>
      <c r="G11" s="14" t="s">
        <v>290</v>
      </c>
      <c r="H11" s="14" t="str">
        <f t="shared" si="1"/>
        <v>No Data</v>
      </c>
      <c r="I11" s="14" t="str">
        <f t="shared" si="2"/>
        <v/>
      </c>
    </row>
    <row r="12">
      <c r="A12" s="12" t="s">
        <v>48</v>
      </c>
      <c r="B12" s="12" t="s">
        <v>296</v>
      </c>
      <c r="C12" s="12" t="s">
        <v>297</v>
      </c>
      <c r="D12" s="12" t="s">
        <v>298</v>
      </c>
      <c r="E12" s="12"/>
      <c r="F12" s="12"/>
      <c r="G12" s="12" t="s">
        <v>299</v>
      </c>
      <c r="H12" s="12" t="str">
        <f t="shared" si="1"/>
        <v>No Data</v>
      </c>
      <c r="I12" s="12" t="str">
        <f t="shared" si="2"/>
        <v/>
      </c>
    </row>
    <row r="13">
      <c r="A13" s="14" t="s">
        <v>53</v>
      </c>
      <c r="B13" s="14" t="s">
        <v>296</v>
      </c>
      <c r="C13" s="14" t="s">
        <v>297</v>
      </c>
      <c r="D13" s="14" t="s">
        <v>298</v>
      </c>
      <c r="E13" s="14"/>
      <c r="F13" s="14"/>
      <c r="G13" s="14" t="s">
        <v>299</v>
      </c>
      <c r="H13" s="14" t="str">
        <f t="shared" si="1"/>
        <v>No Data</v>
      </c>
      <c r="I13" s="14" t="str">
        <f t="shared" si="2"/>
        <v/>
      </c>
    </row>
    <row r="14">
      <c r="A14" s="12" t="s">
        <v>62</v>
      </c>
      <c r="B14" s="12" t="s">
        <v>300</v>
      </c>
      <c r="C14" s="12" t="s">
        <v>301</v>
      </c>
      <c r="D14" s="12" t="s">
        <v>302</v>
      </c>
      <c r="E14" s="12"/>
      <c r="F14" s="12"/>
      <c r="G14" s="12" t="s">
        <v>290</v>
      </c>
      <c r="H14" s="12" t="str">
        <f t="shared" si="1"/>
        <v>No Data</v>
      </c>
      <c r="I14" s="12" t="str">
        <f t="shared" si="2"/>
        <v/>
      </c>
    </row>
    <row r="15">
      <c r="A15" s="14" t="s">
        <v>77</v>
      </c>
      <c r="B15" s="14" t="s">
        <v>303</v>
      </c>
      <c r="C15" s="14" t="s">
        <v>297</v>
      </c>
      <c r="D15" s="14" t="s">
        <v>298</v>
      </c>
      <c r="E15" s="14"/>
      <c r="F15" s="14"/>
      <c r="G15" s="14" t="s">
        <v>299</v>
      </c>
      <c r="H15" s="14" t="str">
        <f t="shared" si="1"/>
        <v>No Data</v>
      </c>
      <c r="I15" s="14" t="str">
        <f t="shared" si="2"/>
        <v/>
      </c>
    </row>
    <row r="16">
      <c r="A16" s="12" t="s">
        <v>69</v>
      </c>
      <c r="B16" s="12" t="s">
        <v>303</v>
      </c>
      <c r="C16" s="12" t="s">
        <v>297</v>
      </c>
      <c r="D16" s="12" t="s">
        <v>298</v>
      </c>
      <c r="E16" s="12"/>
      <c r="F16" s="12"/>
      <c r="G16" s="12" t="s">
        <v>299</v>
      </c>
      <c r="H16" s="12" t="str">
        <f t="shared" si="1"/>
        <v>No Data</v>
      </c>
      <c r="I16" s="12" t="str">
        <f t="shared" si="2"/>
        <v/>
      </c>
    </row>
    <row r="17">
      <c r="A17" s="14" t="s">
        <v>79</v>
      </c>
      <c r="B17" s="14" t="s">
        <v>304</v>
      </c>
      <c r="C17" s="14" t="s">
        <v>297</v>
      </c>
      <c r="D17" s="14" t="s">
        <v>298</v>
      </c>
      <c r="E17" s="14"/>
      <c r="F17" s="14"/>
      <c r="G17" s="14" t="s">
        <v>299</v>
      </c>
      <c r="H17" s="14" t="str">
        <f t="shared" si="1"/>
        <v>No Data</v>
      </c>
      <c r="I17" s="14" t="str">
        <f t="shared" si="2"/>
        <v/>
      </c>
    </row>
    <row r="18">
      <c r="A18" s="12" t="s">
        <v>82</v>
      </c>
      <c r="B18" s="12" t="s">
        <v>304</v>
      </c>
      <c r="C18" s="12" t="s">
        <v>297</v>
      </c>
      <c r="D18" s="12" t="s">
        <v>298</v>
      </c>
      <c r="E18" s="12"/>
      <c r="F18" s="12"/>
      <c r="G18" s="12" t="s">
        <v>299</v>
      </c>
      <c r="H18" s="12" t="str">
        <f t="shared" si="1"/>
        <v>No Data</v>
      </c>
      <c r="I18" s="12" t="str">
        <f t="shared" si="2"/>
        <v/>
      </c>
    </row>
    <row r="19">
      <c r="C19" s="15"/>
    </row>
    <row r="20">
      <c r="C20" s="15"/>
    </row>
    <row r="21" ht="15.75" customHeight="1">
      <c r="C21" s="15"/>
    </row>
    <row r="22" ht="15.75" customHeight="1">
      <c r="C22" s="15"/>
    </row>
    <row r="23" ht="15.75" customHeight="1">
      <c r="C23" s="15"/>
    </row>
    <row r="24" ht="15.75" customHeight="1">
      <c r="C24" s="15"/>
    </row>
    <row r="25" ht="15.75" customHeight="1">
      <c r="C25" s="15"/>
    </row>
    <row r="26" ht="15.75" customHeight="1">
      <c r="C26" s="15"/>
    </row>
    <row r="27" ht="15.75" customHeight="1">
      <c r="C27" s="15"/>
    </row>
    <row r="28" ht="15.75" customHeight="1">
      <c r="C28" s="15"/>
    </row>
    <row r="29" ht="15.75" customHeight="1">
      <c r="C29" s="15"/>
    </row>
    <row r="30" ht="15.75" customHeight="1">
      <c r="C30" s="15"/>
    </row>
    <row r="31" ht="15.75" customHeight="1">
      <c r="C31" s="15"/>
    </row>
    <row r="32" ht="15.75" customHeight="1">
      <c r="C32" s="15"/>
    </row>
    <row r="33" ht="15.75" customHeight="1">
      <c r="C33" s="15"/>
    </row>
    <row r="34" ht="15.75" customHeight="1">
      <c r="C34" s="15"/>
    </row>
    <row r="35" ht="15.75" customHeight="1">
      <c r="C35" s="15"/>
    </row>
    <row r="36" ht="15.75" customHeight="1">
      <c r="C36" s="15"/>
    </row>
    <row r="37" ht="15.75" customHeight="1">
      <c r="C37" s="15"/>
    </row>
    <row r="38" ht="15.75" customHeight="1">
      <c r="C38" s="1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H4:H1000">
    <cfRule type="cellIs" dxfId="0" priority="1" operator="equal">
      <formula>"Overdue"</formula>
    </cfRule>
  </conditionalFormatting>
  <conditionalFormatting sqref="H4:H1000">
    <cfRule type="cellIs" dxfId="1" priority="2" operator="equal">
      <formula>"On Track"</formula>
    </cfRule>
  </conditionalFormatting>
  <dataValidations>
    <dataValidation type="list" allowBlank="1" sqref="C4:C38">
      <formula1>"Daily,Per Shift,Weekly,Monthly,Quarterly,Annual"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8" width="19.25"/>
    <col customWidth="1" min="9" max="26" width="7.63"/>
  </cols>
  <sheetData>
    <row r="1">
      <c r="A1" s="1" t="s">
        <v>305</v>
      </c>
    </row>
    <row r="2">
      <c r="A2" s="16" t="s">
        <v>306</v>
      </c>
    </row>
    <row r="4">
      <c r="A4" s="27" t="s">
        <v>307</v>
      </c>
      <c r="B4" s="27" t="s">
        <v>308</v>
      </c>
      <c r="C4" s="27" t="s">
        <v>309</v>
      </c>
      <c r="D4" s="27" t="s">
        <v>310</v>
      </c>
      <c r="E4" s="27" t="s">
        <v>311</v>
      </c>
      <c r="F4" s="27" t="s">
        <v>26</v>
      </c>
      <c r="G4" s="27" t="s">
        <v>30</v>
      </c>
      <c r="H4" s="27" t="s">
        <v>101</v>
      </c>
    </row>
    <row r="5">
      <c r="A5" s="12" t="s">
        <v>312</v>
      </c>
      <c r="B5" s="12" t="s">
        <v>313</v>
      </c>
      <c r="C5" s="12" t="s">
        <v>57</v>
      </c>
      <c r="D5" s="12" t="s">
        <v>314</v>
      </c>
      <c r="E5" s="12" t="s">
        <v>314</v>
      </c>
      <c r="F5" s="12" t="s">
        <v>315</v>
      </c>
      <c r="G5" s="12" t="s">
        <v>38</v>
      </c>
      <c r="H5" s="12" t="s">
        <v>316</v>
      </c>
    </row>
    <row r="6">
      <c r="A6" s="14" t="s">
        <v>317</v>
      </c>
      <c r="B6" s="14" t="s">
        <v>318</v>
      </c>
      <c r="C6" s="14" t="s">
        <v>57</v>
      </c>
      <c r="D6" s="14" t="s">
        <v>314</v>
      </c>
      <c r="E6" s="14" t="s">
        <v>314</v>
      </c>
      <c r="F6" s="14" t="s">
        <v>315</v>
      </c>
      <c r="G6" s="14" t="s">
        <v>38</v>
      </c>
      <c r="H6" s="14" t="s">
        <v>319</v>
      </c>
    </row>
    <row r="7">
      <c r="A7" s="12" t="s">
        <v>320</v>
      </c>
      <c r="B7" s="12" t="s">
        <v>321</v>
      </c>
      <c r="C7" s="12" t="s">
        <v>68</v>
      </c>
      <c r="D7" s="12" t="s">
        <v>322</v>
      </c>
      <c r="E7" s="12"/>
      <c r="F7" s="12" t="s">
        <v>323</v>
      </c>
      <c r="G7" s="12" t="s">
        <v>38</v>
      </c>
      <c r="H7" s="12"/>
    </row>
    <row r="8">
      <c r="A8" s="14" t="s">
        <v>66</v>
      </c>
      <c r="B8" s="14" t="s">
        <v>324</v>
      </c>
      <c r="C8" s="14" t="s">
        <v>68</v>
      </c>
      <c r="D8" s="14" t="s">
        <v>325</v>
      </c>
      <c r="E8" s="14" t="s">
        <v>314</v>
      </c>
      <c r="F8" s="14" t="s">
        <v>323</v>
      </c>
      <c r="G8" s="14" t="s">
        <v>38</v>
      </c>
      <c r="H8" s="14" t="s">
        <v>326</v>
      </c>
    </row>
    <row r="9">
      <c r="A9" s="12" t="s">
        <v>327</v>
      </c>
      <c r="B9" s="12" t="s">
        <v>328</v>
      </c>
      <c r="C9" s="12" t="s">
        <v>68</v>
      </c>
      <c r="D9" s="12" t="s">
        <v>329</v>
      </c>
      <c r="E9" s="12"/>
      <c r="F9" s="12" t="s">
        <v>323</v>
      </c>
      <c r="G9" s="12" t="s">
        <v>38</v>
      </c>
      <c r="H9" s="12"/>
    </row>
    <row r="10">
      <c r="A10" s="14" t="s">
        <v>330</v>
      </c>
      <c r="B10" s="14" t="s">
        <v>331</v>
      </c>
      <c r="C10" s="14" t="s">
        <v>57</v>
      </c>
      <c r="D10" s="14"/>
      <c r="E10" s="14"/>
      <c r="F10" s="14" t="s">
        <v>315</v>
      </c>
      <c r="G10" s="14" t="s">
        <v>332</v>
      </c>
      <c r="H10" s="14" t="s">
        <v>333</v>
      </c>
    </row>
    <row r="11">
      <c r="A11" s="12" t="s">
        <v>334</v>
      </c>
      <c r="B11" s="12" t="s">
        <v>331</v>
      </c>
      <c r="C11" s="12" t="s">
        <v>57</v>
      </c>
      <c r="D11" s="12"/>
      <c r="E11" s="12"/>
      <c r="F11" s="12" t="s">
        <v>335</v>
      </c>
      <c r="G11" s="12" t="s">
        <v>332</v>
      </c>
      <c r="H11" s="12" t="s">
        <v>333</v>
      </c>
    </row>
    <row r="12">
      <c r="G12" s="15"/>
    </row>
    <row r="13">
      <c r="G13" s="15"/>
    </row>
    <row r="14">
      <c r="G14" s="15"/>
    </row>
    <row r="15">
      <c r="G15" s="15"/>
    </row>
    <row r="16">
      <c r="G16" s="15"/>
    </row>
    <row r="17">
      <c r="G17" s="15"/>
    </row>
    <row r="18">
      <c r="G18" s="15"/>
    </row>
    <row r="19">
      <c r="G19" s="15"/>
    </row>
    <row r="20">
      <c r="G20" s="15"/>
    </row>
    <row r="21" ht="15.75" customHeight="1">
      <c r="G21" s="1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G5:G21">
      <formula1>"Active,Spare,Maintenance,Decommissioned"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9" width="17.5"/>
    <col customWidth="1" min="10" max="26" width="7.63"/>
  </cols>
  <sheetData>
    <row r="1">
      <c r="A1" s="1" t="s">
        <v>336</v>
      </c>
    </row>
    <row r="2">
      <c r="A2" s="16" t="s">
        <v>337</v>
      </c>
    </row>
    <row r="4">
      <c r="A4" s="29" t="s">
        <v>338</v>
      </c>
    </row>
    <row r="6">
      <c r="A6" s="27" t="s">
        <v>339</v>
      </c>
      <c r="B6" s="27" t="s">
        <v>97</v>
      </c>
      <c r="C6" s="27" t="s">
        <v>167</v>
      </c>
      <c r="D6" s="27" t="s">
        <v>307</v>
      </c>
      <c r="E6" s="27" t="s">
        <v>340</v>
      </c>
      <c r="F6" s="27" t="s">
        <v>341</v>
      </c>
      <c r="G6" s="27" t="s">
        <v>342</v>
      </c>
      <c r="H6" s="27" t="s">
        <v>343</v>
      </c>
      <c r="I6" s="27" t="s">
        <v>254</v>
      </c>
    </row>
    <row r="7">
      <c r="A7" s="12" t="s">
        <v>344</v>
      </c>
      <c r="B7" s="17">
        <v>46113.0</v>
      </c>
      <c r="C7" s="12" t="s">
        <v>345</v>
      </c>
      <c r="D7" s="12" t="s">
        <v>66</v>
      </c>
      <c r="E7" s="12" t="s">
        <v>346</v>
      </c>
      <c r="F7" s="12" t="s">
        <v>347</v>
      </c>
      <c r="G7" s="12" t="s">
        <v>348</v>
      </c>
      <c r="H7" s="12" t="s">
        <v>103</v>
      </c>
      <c r="I7" s="12"/>
    </row>
    <row r="8">
      <c r="A8" s="12" t="s">
        <v>349</v>
      </c>
      <c r="B8" s="17">
        <v>46113.0</v>
      </c>
      <c r="C8" s="12" t="s">
        <v>350</v>
      </c>
      <c r="D8" s="12" t="s">
        <v>66</v>
      </c>
      <c r="E8" s="12" t="s">
        <v>346</v>
      </c>
      <c r="F8" s="12" t="s">
        <v>351</v>
      </c>
      <c r="G8" s="12" t="s">
        <v>352</v>
      </c>
      <c r="H8" s="12" t="s">
        <v>106</v>
      </c>
      <c r="I8" s="12"/>
    </row>
    <row r="9">
      <c r="A9" s="12" t="s">
        <v>353</v>
      </c>
      <c r="B9" s="17">
        <v>46115.0</v>
      </c>
      <c r="C9" s="12" t="s">
        <v>354</v>
      </c>
      <c r="D9" s="12" t="s">
        <v>312</v>
      </c>
      <c r="E9" s="12" t="s">
        <v>355</v>
      </c>
      <c r="F9" s="12" t="s">
        <v>356</v>
      </c>
      <c r="G9" s="12" t="s">
        <v>357</v>
      </c>
      <c r="H9" s="12" t="s">
        <v>106</v>
      </c>
      <c r="I9" s="12" t="s">
        <v>358</v>
      </c>
    </row>
    <row r="10">
      <c r="F10" s="15"/>
    </row>
    <row r="11">
      <c r="F11" s="15"/>
    </row>
    <row r="12">
      <c r="F12" s="15"/>
    </row>
    <row r="13">
      <c r="F13" s="15"/>
    </row>
    <row r="14">
      <c r="F14" s="15"/>
    </row>
    <row r="15">
      <c r="F15" s="15"/>
    </row>
    <row r="16">
      <c r="F16" s="15"/>
    </row>
    <row r="17">
      <c r="F17" s="15"/>
    </row>
    <row r="18">
      <c r="F18" s="15"/>
    </row>
    <row r="19">
      <c r="F19" s="15"/>
    </row>
    <row r="20">
      <c r="F20" s="15"/>
    </row>
    <row r="21" ht="15.75" customHeight="1">
      <c r="F21" s="15"/>
    </row>
    <row r="22" ht="15.75" customHeight="1">
      <c r="F22" s="15"/>
    </row>
    <row r="23" ht="15.75" customHeight="1">
      <c r="F23" s="15"/>
    </row>
    <row r="24" ht="15.75" customHeight="1">
      <c r="F24" s="15"/>
    </row>
    <row r="25" ht="15.75" customHeight="1">
      <c r="F25" s="15"/>
    </row>
    <row r="26" ht="15.75" customHeight="1">
      <c r="F26" s="15"/>
    </row>
    <row r="27" ht="15.75" customHeight="1">
      <c r="F27" s="15"/>
    </row>
    <row r="28" ht="15.75" customHeight="1">
      <c r="F28" s="15"/>
    </row>
    <row r="29" ht="15.75" customHeight="1">
      <c r="F29" s="15"/>
    </row>
    <row r="30" ht="15.75" customHeight="1">
      <c r="F30" s="15"/>
    </row>
    <row r="31" ht="15.75" customHeight="1">
      <c r="F31" s="15"/>
    </row>
    <row r="32" ht="15.75" customHeight="1">
      <c r="F32" s="15"/>
    </row>
    <row r="33" ht="15.75" customHeight="1">
      <c r="F33" s="15"/>
    </row>
    <row r="34" ht="15.75" customHeight="1">
      <c r="F34" s="15"/>
    </row>
    <row r="35" ht="15.75" customHeight="1">
      <c r="F35" s="15"/>
    </row>
    <row r="36" ht="15.75" customHeight="1">
      <c r="F36" s="15"/>
    </row>
    <row r="37" ht="15.75" customHeight="1">
      <c r="F37" s="15"/>
    </row>
    <row r="38" ht="15.75" customHeight="1">
      <c r="F38" s="15"/>
    </row>
    <row r="39" ht="15.75" customHeight="1">
      <c r="F39" s="15"/>
    </row>
    <row r="40" ht="15.75" customHeight="1">
      <c r="F40" s="15"/>
    </row>
    <row r="41" ht="15.75" customHeight="1">
      <c r="F41" s="15"/>
    </row>
    <row r="42" ht="15.75" customHeight="1">
      <c r="F42" s="15"/>
    </row>
    <row r="43" ht="15.75" customHeight="1">
      <c r="F43" s="15"/>
    </row>
    <row r="44" ht="15.75" customHeight="1">
      <c r="F44" s="15"/>
    </row>
    <row r="45" ht="15.75" customHeight="1">
      <c r="F45" s="15"/>
    </row>
    <row r="46" ht="15.75" customHeight="1">
      <c r="F46" s="15"/>
    </row>
    <row r="47" ht="15.75" customHeight="1">
      <c r="F47" s="15"/>
    </row>
    <row r="48" ht="15.75" customHeight="1">
      <c r="F48" s="15"/>
    </row>
    <row r="49" ht="15.75" customHeight="1">
      <c r="F49" s="15"/>
    </row>
    <row r="50" ht="15.75" customHeight="1">
      <c r="F50" s="15"/>
    </row>
    <row r="51" ht="15.75" customHeight="1">
      <c r="F51" s="15"/>
    </row>
    <row r="52" ht="15.75" customHeight="1">
      <c r="F52" s="15"/>
    </row>
    <row r="53" ht="15.75" customHeight="1">
      <c r="F53" s="15"/>
    </row>
    <row r="54" ht="15.75" customHeight="1">
      <c r="F54" s="15"/>
    </row>
    <row r="55" ht="15.75" customHeight="1">
      <c r="F55" s="15"/>
    </row>
    <row r="56" ht="15.75" customHeight="1">
      <c r="F56" s="15"/>
    </row>
    <row r="57" ht="15.75" customHeight="1">
      <c r="F57" s="15"/>
    </row>
    <row r="58" ht="15.75" customHeight="1">
      <c r="F58" s="15"/>
    </row>
    <row r="59" ht="15.75" customHeight="1">
      <c r="F59" s="15"/>
    </row>
    <row r="60" ht="15.75" customHeight="1">
      <c r="F60" s="15"/>
    </row>
    <row r="61" ht="15.75" customHeight="1">
      <c r="F61" s="15"/>
    </row>
    <row r="62" ht="15.75" customHeight="1">
      <c r="F62" s="15"/>
    </row>
    <row r="63" ht="15.75" customHeight="1">
      <c r="F63" s="15"/>
    </row>
    <row r="64" ht="15.75" customHeight="1">
      <c r="F64" s="15"/>
    </row>
    <row r="65" ht="15.75" customHeight="1">
      <c r="F65" s="15"/>
    </row>
    <row r="66" ht="15.75" customHeight="1">
      <c r="F66" s="15"/>
    </row>
    <row r="67" ht="15.75" customHeight="1">
      <c r="F67" s="15"/>
    </row>
    <row r="68" ht="15.75" customHeight="1">
      <c r="F68" s="15"/>
    </row>
    <row r="69" ht="15.75" customHeight="1">
      <c r="F69" s="15"/>
    </row>
    <row r="70" ht="15.75" customHeight="1">
      <c r="F70" s="15"/>
    </row>
    <row r="71" ht="15.75" customHeight="1">
      <c r="F71" s="15"/>
    </row>
    <row r="72" ht="15.75" customHeight="1">
      <c r="F72" s="15"/>
    </row>
    <row r="73" ht="15.75" customHeight="1">
      <c r="F73" s="15"/>
    </row>
    <row r="74" ht="15.75" customHeight="1">
      <c r="F74" s="15"/>
    </row>
    <row r="75" ht="15.75" customHeight="1">
      <c r="F75" s="15"/>
    </row>
    <row r="76" ht="15.75" customHeight="1">
      <c r="F76" s="15"/>
    </row>
    <row r="77" ht="15.75" customHeight="1">
      <c r="F77" s="15"/>
    </row>
    <row r="78" ht="15.75" customHeight="1">
      <c r="F78" s="15"/>
    </row>
    <row r="79" ht="15.75" customHeight="1">
      <c r="F79" s="15"/>
    </row>
    <row r="80" ht="15.75" customHeight="1">
      <c r="F80" s="15"/>
    </row>
    <row r="81" ht="15.75" customHeight="1">
      <c r="F81" s="15"/>
    </row>
    <row r="82" ht="15.75" customHeight="1">
      <c r="F82" s="15"/>
    </row>
    <row r="83" ht="15.75" customHeight="1">
      <c r="F83" s="15"/>
    </row>
    <row r="84" ht="15.75" customHeight="1">
      <c r="F84" s="15"/>
    </row>
    <row r="85" ht="15.75" customHeight="1">
      <c r="F85" s="15"/>
    </row>
    <row r="86" ht="15.75" customHeight="1">
      <c r="F86" s="15"/>
    </row>
    <row r="87" ht="15.75" customHeight="1">
      <c r="F87" s="15"/>
    </row>
    <row r="88" ht="15.75" customHeight="1">
      <c r="F88" s="15"/>
    </row>
    <row r="89" ht="15.75" customHeight="1">
      <c r="F89" s="15"/>
    </row>
    <row r="90" ht="15.75" customHeight="1">
      <c r="F90" s="15"/>
    </row>
    <row r="91" ht="15.75" customHeight="1">
      <c r="F91" s="15"/>
    </row>
    <row r="92" ht="15.75" customHeight="1">
      <c r="F92" s="15"/>
    </row>
    <row r="93" ht="15.75" customHeight="1">
      <c r="F93" s="15"/>
    </row>
    <row r="94" ht="15.75" customHeight="1">
      <c r="F94" s="15"/>
    </row>
    <row r="95" ht="15.75" customHeight="1">
      <c r="F95" s="15"/>
    </row>
    <row r="96" ht="15.75" customHeight="1">
      <c r="F96" s="15"/>
    </row>
    <row r="97" ht="15.75" customHeight="1">
      <c r="F97" s="15"/>
    </row>
    <row r="98" ht="15.75" customHeight="1">
      <c r="F98" s="15"/>
    </row>
    <row r="99" ht="15.75" customHeight="1">
      <c r="F99" s="15"/>
    </row>
    <row r="100" ht="15.75" customHeight="1">
      <c r="F100" s="15"/>
    </row>
    <row r="101" ht="15.75" customHeight="1">
      <c r="F101" s="15"/>
    </row>
    <row r="102" ht="15.75" customHeight="1">
      <c r="F102" s="15"/>
    </row>
    <row r="103" ht="15.75" customHeight="1">
      <c r="F103" s="15"/>
    </row>
    <row r="104" ht="15.75" customHeight="1">
      <c r="F104" s="15"/>
    </row>
    <row r="105" ht="15.75" customHeight="1">
      <c r="F105" s="15"/>
    </row>
    <row r="106" ht="15.75" customHeight="1">
      <c r="F106" s="15"/>
    </row>
    <row r="107" ht="15.75" customHeight="1">
      <c r="F107" s="15"/>
    </row>
    <row r="108" ht="15.75" customHeight="1">
      <c r="F108" s="15"/>
    </row>
    <row r="109" ht="15.75" customHeight="1">
      <c r="F109" s="15"/>
    </row>
    <row r="110" ht="15.75" customHeight="1">
      <c r="F110" s="15"/>
    </row>
    <row r="111" ht="15.75" customHeight="1">
      <c r="F111" s="15"/>
    </row>
    <row r="112" ht="15.75" customHeight="1">
      <c r="F112" s="15"/>
    </row>
    <row r="113" ht="15.75" customHeight="1">
      <c r="F113" s="15"/>
    </row>
    <row r="114" ht="15.75" customHeight="1">
      <c r="F114" s="15"/>
    </row>
    <row r="115" ht="15.75" customHeight="1">
      <c r="F115" s="15"/>
    </row>
    <row r="116" ht="15.75" customHeight="1">
      <c r="F116" s="15"/>
    </row>
    <row r="117" ht="15.75" customHeight="1">
      <c r="F117" s="15"/>
    </row>
    <row r="118" ht="15.75" customHeight="1">
      <c r="F118" s="15"/>
    </row>
    <row r="119" ht="15.75" customHeight="1">
      <c r="F119" s="15"/>
    </row>
    <row r="120" ht="15.75" customHeight="1">
      <c r="F120" s="15"/>
    </row>
    <row r="121" ht="15.75" customHeight="1">
      <c r="F121" s="15"/>
    </row>
    <row r="122" ht="15.75" customHeight="1">
      <c r="F122" s="15"/>
    </row>
    <row r="123" ht="15.75" customHeight="1">
      <c r="F123" s="15"/>
    </row>
    <row r="124" ht="15.75" customHeight="1">
      <c r="F124" s="15"/>
    </row>
    <row r="125" ht="15.75" customHeight="1">
      <c r="F125" s="15"/>
    </row>
    <row r="126" ht="15.75" customHeight="1">
      <c r="F126" s="15"/>
    </row>
    <row r="127" ht="15.75" customHeight="1">
      <c r="F127" s="15"/>
    </row>
    <row r="128" ht="15.75" customHeight="1">
      <c r="F128" s="15"/>
    </row>
    <row r="129" ht="15.75" customHeight="1">
      <c r="F129" s="15"/>
    </row>
    <row r="130" ht="15.75" customHeight="1">
      <c r="F130" s="15"/>
    </row>
    <row r="131" ht="15.75" customHeight="1">
      <c r="F131" s="15"/>
    </row>
    <row r="132" ht="15.75" customHeight="1">
      <c r="F132" s="15"/>
    </row>
    <row r="133" ht="15.75" customHeight="1">
      <c r="F133" s="15"/>
    </row>
    <row r="134" ht="15.75" customHeight="1">
      <c r="F134" s="15"/>
    </row>
    <row r="135" ht="15.75" customHeight="1">
      <c r="F135" s="15"/>
    </row>
    <row r="136" ht="15.75" customHeight="1">
      <c r="F136" s="15"/>
    </row>
    <row r="137" ht="15.75" customHeight="1">
      <c r="F137" s="15"/>
    </row>
    <row r="138" ht="15.75" customHeight="1">
      <c r="F138" s="15"/>
    </row>
    <row r="139" ht="15.75" customHeight="1">
      <c r="F139" s="15"/>
    </row>
    <row r="140" ht="15.75" customHeight="1">
      <c r="F140" s="15"/>
    </row>
    <row r="141" ht="15.75" customHeight="1">
      <c r="F141" s="15"/>
    </row>
    <row r="142" ht="15.75" customHeight="1">
      <c r="F142" s="15"/>
    </row>
    <row r="143" ht="15.75" customHeight="1">
      <c r="F143" s="15"/>
    </row>
    <row r="144" ht="15.75" customHeight="1">
      <c r="F144" s="15"/>
    </row>
    <row r="145" ht="15.75" customHeight="1">
      <c r="F145" s="15"/>
    </row>
    <row r="146" ht="15.75" customHeight="1">
      <c r="F146" s="15"/>
    </row>
    <row r="147" ht="15.75" customHeight="1">
      <c r="F147" s="15"/>
    </row>
    <row r="148" ht="15.75" customHeight="1">
      <c r="F148" s="15"/>
    </row>
    <row r="149" ht="15.75" customHeight="1">
      <c r="F149" s="15"/>
    </row>
    <row r="150" ht="15.75" customHeight="1">
      <c r="F150" s="15"/>
    </row>
    <row r="151" ht="15.75" customHeight="1">
      <c r="F151" s="15"/>
    </row>
    <row r="152" ht="15.75" customHeight="1">
      <c r="F152" s="15"/>
    </row>
    <row r="153" ht="15.75" customHeight="1">
      <c r="F153" s="15"/>
    </row>
    <row r="154" ht="15.75" customHeight="1">
      <c r="F154" s="15"/>
    </row>
    <row r="155" ht="15.75" customHeight="1">
      <c r="F155" s="15"/>
    </row>
    <row r="156" ht="15.75" customHeight="1">
      <c r="F156" s="15"/>
    </row>
    <row r="157" ht="15.75" customHeight="1">
      <c r="F157" s="15"/>
    </row>
    <row r="158" ht="15.75" customHeight="1">
      <c r="F158" s="15"/>
    </row>
    <row r="159" ht="15.75" customHeight="1">
      <c r="F159" s="15"/>
    </row>
    <row r="160" ht="15.75" customHeight="1">
      <c r="F160" s="15"/>
    </row>
    <row r="161" ht="15.75" customHeight="1">
      <c r="F161" s="15"/>
    </row>
    <row r="162" ht="15.75" customHeight="1">
      <c r="F162" s="15"/>
    </row>
    <row r="163" ht="15.75" customHeight="1">
      <c r="F163" s="15"/>
    </row>
    <row r="164" ht="15.75" customHeight="1">
      <c r="F164" s="15"/>
    </row>
    <row r="165" ht="15.75" customHeight="1">
      <c r="F165" s="15"/>
    </row>
    <row r="166" ht="15.75" customHeight="1">
      <c r="F166" s="15"/>
    </row>
    <row r="167" ht="15.75" customHeight="1">
      <c r="F167" s="15"/>
    </row>
    <row r="168" ht="15.75" customHeight="1">
      <c r="F168" s="15"/>
    </row>
    <row r="169" ht="15.75" customHeight="1">
      <c r="F169" s="15"/>
    </row>
    <row r="170" ht="15.75" customHeight="1">
      <c r="F170" s="15"/>
    </row>
    <row r="171" ht="15.75" customHeight="1">
      <c r="F171" s="15"/>
    </row>
    <row r="172" ht="15.75" customHeight="1">
      <c r="F172" s="15"/>
    </row>
    <row r="173" ht="15.75" customHeight="1">
      <c r="F173" s="15"/>
    </row>
    <row r="174" ht="15.75" customHeight="1">
      <c r="F174" s="15"/>
    </row>
    <row r="175" ht="15.75" customHeight="1">
      <c r="F175" s="15"/>
    </row>
    <row r="176" ht="15.75" customHeight="1">
      <c r="F176" s="15"/>
    </row>
    <row r="177" ht="15.75" customHeight="1">
      <c r="F177" s="15"/>
    </row>
    <row r="178" ht="15.75" customHeight="1">
      <c r="F178" s="15"/>
    </row>
    <row r="179" ht="15.75" customHeight="1">
      <c r="F179" s="15"/>
    </row>
    <row r="180" ht="15.75" customHeight="1">
      <c r="F180" s="15"/>
    </row>
    <row r="181" ht="15.75" customHeight="1">
      <c r="F181" s="15"/>
    </row>
    <row r="182" ht="15.75" customHeight="1">
      <c r="F182" s="15"/>
    </row>
    <row r="183" ht="15.75" customHeight="1">
      <c r="F183" s="15"/>
    </row>
    <row r="184" ht="15.75" customHeight="1">
      <c r="F184" s="15"/>
    </row>
    <row r="185" ht="15.75" customHeight="1">
      <c r="F185" s="15"/>
    </row>
    <row r="186" ht="15.75" customHeight="1">
      <c r="F186" s="15"/>
    </row>
    <row r="187" ht="15.75" customHeight="1">
      <c r="F187" s="15"/>
    </row>
    <row r="188" ht="15.75" customHeight="1">
      <c r="F188" s="15"/>
    </row>
    <row r="189" ht="15.75" customHeight="1">
      <c r="F189" s="15"/>
    </row>
    <row r="190" ht="15.75" customHeight="1">
      <c r="F190" s="15"/>
    </row>
    <row r="191" ht="15.75" customHeight="1">
      <c r="F191" s="15"/>
    </row>
    <row r="192" ht="15.75" customHeight="1">
      <c r="F192" s="15"/>
    </row>
    <row r="193" ht="15.75" customHeight="1">
      <c r="F193" s="15"/>
    </row>
    <row r="194" ht="15.75" customHeight="1">
      <c r="F194" s="15"/>
    </row>
    <row r="195" ht="15.75" customHeight="1">
      <c r="F195" s="15"/>
    </row>
    <row r="196" ht="15.75" customHeight="1">
      <c r="F196" s="15"/>
    </row>
    <row r="197" ht="15.75" customHeight="1">
      <c r="F197" s="15"/>
    </row>
    <row r="198" ht="15.75" customHeight="1">
      <c r="F198" s="15"/>
    </row>
    <row r="199" ht="15.75" customHeight="1">
      <c r="F199" s="15"/>
    </row>
    <row r="200" ht="15.75" customHeight="1">
      <c r="F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4:I4"/>
  </mergeCells>
  <dataValidations>
    <dataValidation type="list" allowBlank="1" sqref="F7:F200">
      <formula1>"CH,SH,SD,ST,EM,PM,OT"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8" width="19.25"/>
    <col customWidth="1" min="9" max="26" width="7.63"/>
  </cols>
  <sheetData>
    <row r="1">
      <c r="A1" s="1" t="s">
        <v>359</v>
      </c>
    </row>
    <row r="2">
      <c r="A2" s="16" t="s">
        <v>360</v>
      </c>
    </row>
    <row r="4">
      <c r="A4" s="27" t="s">
        <v>361</v>
      </c>
      <c r="B4" s="27" t="s">
        <v>362</v>
      </c>
      <c r="C4" s="27" t="s">
        <v>363</v>
      </c>
      <c r="D4" s="27" t="s">
        <v>364</v>
      </c>
      <c r="E4" s="27" t="s">
        <v>365</v>
      </c>
      <c r="F4" s="27" t="s">
        <v>366</v>
      </c>
      <c r="G4" s="27" t="s">
        <v>367</v>
      </c>
      <c r="H4" s="27" t="s">
        <v>368</v>
      </c>
    </row>
    <row r="5">
      <c r="A5" s="12" t="s">
        <v>369</v>
      </c>
      <c r="B5" s="12" t="s">
        <v>291</v>
      </c>
      <c r="C5" s="12" t="s">
        <v>370</v>
      </c>
      <c r="D5" s="12" t="s">
        <v>371</v>
      </c>
      <c r="E5" s="12" t="s">
        <v>372</v>
      </c>
      <c r="F5" s="12" t="s">
        <v>373</v>
      </c>
      <c r="G5" s="12"/>
      <c r="H5" s="12"/>
    </row>
    <row r="6">
      <c r="A6" s="12" t="s">
        <v>374</v>
      </c>
      <c r="B6" s="12" t="s">
        <v>375</v>
      </c>
      <c r="C6" s="12" t="s">
        <v>376</v>
      </c>
      <c r="D6" s="12" t="s">
        <v>377</v>
      </c>
      <c r="E6" s="12" t="s">
        <v>378</v>
      </c>
      <c r="F6" s="12" t="s">
        <v>373</v>
      </c>
      <c r="G6" s="12" t="s">
        <v>379</v>
      </c>
      <c r="H6" s="12"/>
    </row>
    <row r="7">
      <c r="A7" s="12" t="s">
        <v>380</v>
      </c>
      <c r="B7" s="12" t="s">
        <v>375</v>
      </c>
      <c r="C7" s="12" t="s">
        <v>376</v>
      </c>
      <c r="D7" s="12" t="s">
        <v>381</v>
      </c>
      <c r="E7" s="12" t="s">
        <v>378</v>
      </c>
      <c r="F7" s="12" t="s">
        <v>373</v>
      </c>
      <c r="G7" s="12" t="s">
        <v>379</v>
      </c>
      <c r="H7" s="12"/>
    </row>
    <row r="8">
      <c r="A8" s="12" t="s">
        <v>382</v>
      </c>
      <c r="B8" s="12" t="s">
        <v>383</v>
      </c>
      <c r="C8" s="12" t="s">
        <v>384</v>
      </c>
      <c r="D8" s="12" t="s">
        <v>385</v>
      </c>
      <c r="E8" s="12" t="s">
        <v>372</v>
      </c>
      <c r="F8" s="12" t="s">
        <v>373</v>
      </c>
      <c r="G8" s="12" t="s">
        <v>386</v>
      </c>
      <c r="H8" s="12"/>
    </row>
    <row r="9">
      <c r="E9" s="15"/>
      <c r="F9" s="15"/>
    </row>
    <row r="10">
      <c r="E10" s="15"/>
      <c r="F10" s="15"/>
    </row>
    <row r="11">
      <c r="E11" s="15"/>
      <c r="F11" s="15"/>
    </row>
    <row r="12">
      <c r="E12" s="15"/>
      <c r="F12" s="15"/>
    </row>
    <row r="13">
      <c r="E13" s="15"/>
      <c r="F13" s="15"/>
    </row>
    <row r="14">
      <c r="E14" s="15"/>
      <c r="F14" s="15"/>
    </row>
    <row r="15">
      <c r="E15" s="15"/>
      <c r="F15" s="15"/>
    </row>
    <row r="16">
      <c r="E16" s="15"/>
      <c r="F16" s="15"/>
    </row>
    <row r="17">
      <c r="E17" s="15"/>
      <c r="F17" s="15"/>
    </row>
    <row r="18">
      <c r="E18" s="15"/>
      <c r="F18" s="15"/>
    </row>
    <row r="19">
      <c r="E19" s="15"/>
      <c r="F19" s="15"/>
    </row>
    <row r="20">
      <c r="E20" s="15"/>
      <c r="F20" s="15"/>
    </row>
    <row r="21" ht="15.75" customHeight="1">
      <c r="E21" s="15"/>
      <c r="F21" s="15"/>
    </row>
    <row r="22" ht="15.75" customHeight="1">
      <c r="E22" s="15"/>
      <c r="F22" s="15"/>
    </row>
    <row r="23" ht="15.75" customHeight="1">
      <c r="E23" s="15"/>
      <c r="F23" s="15"/>
    </row>
    <row r="24" ht="15.75" customHeight="1">
      <c r="E24" s="15"/>
      <c r="F24" s="15"/>
    </row>
    <row r="25" ht="15.75" customHeight="1">
      <c r="E25" s="15"/>
      <c r="F25" s="15"/>
    </row>
    <row r="26" ht="15.75" customHeight="1">
      <c r="E26" s="15"/>
      <c r="F26" s="15"/>
    </row>
    <row r="27" ht="15.75" customHeight="1">
      <c r="E27" s="15"/>
      <c r="F27" s="15"/>
    </row>
    <row r="28" ht="15.75" customHeight="1">
      <c r="E28" s="15"/>
      <c r="F28" s="15"/>
    </row>
    <row r="29" ht="15.75" customHeight="1">
      <c r="E29" s="15"/>
      <c r="F29" s="15"/>
    </row>
    <row r="30" ht="15.75" customHeight="1">
      <c r="E30" s="15"/>
      <c r="F30" s="15"/>
    </row>
    <row r="31" ht="15.75" customHeight="1">
      <c r="E31" s="15"/>
      <c r="F31" s="15"/>
    </row>
    <row r="32" ht="15.75" customHeight="1">
      <c r="E32" s="15"/>
      <c r="F32" s="15"/>
    </row>
    <row r="33" ht="15.75" customHeight="1">
      <c r="E33" s="15"/>
      <c r="F33" s="15"/>
    </row>
    <row r="34" ht="15.75" customHeight="1">
      <c r="E34" s="15"/>
      <c r="F34" s="15"/>
    </row>
    <row r="35" ht="15.75" customHeight="1">
      <c r="E35" s="15"/>
      <c r="F35" s="15"/>
    </row>
    <row r="36" ht="15.75" customHeight="1">
      <c r="E36" s="15"/>
      <c r="F36" s="15"/>
    </row>
    <row r="37" ht="15.75" customHeight="1">
      <c r="E37" s="15"/>
      <c r="F37" s="15"/>
    </row>
    <row r="38" ht="15.75" customHeight="1">
      <c r="E38" s="15"/>
      <c r="F38" s="15"/>
    </row>
    <row r="39" ht="15.75" customHeight="1">
      <c r="E39" s="15"/>
      <c r="F39" s="15"/>
    </row>
    <row r="40" ht="15.75" customHeight="1">
      <c r="E40" s="15"/>
      <c r="F40" s="15"/>
    </row>
    <row r="41" ht="15.75" customHeight="1">
      <c r="E41" s="15"/>
      <c r="F41" s="15"/>
    </row>
    <row r="42" ht="15.75" customHeight="1">
      <c r="E42" s="15"/>
      <c r="F42" s="15"/>
    </row>
    <row r="43" ht="15.75" customHeight="1">
      <c r="E43" s="15"/>
      <c r="F43" s="15"/>
    </row>
    <row r="44" ht="15.75" customHeight="1">
      <c r="E44" s="15"/>
      <c r="F44" s="15"/>
    </row>
    <row r="45" ht="15.75" customHeight="1">
      <c r="E45" s="15"/>
      <c r="F45" s="15"/>
    </row>
    <row r="46" ht="15.75" customHeight="1">
      <c r="E46" s="15"/>
      <c r="F46" s="15"/>
    </row>
    <row r="47" ht="15.75" customHeight="1">
      <c r="E47" s="15"/>
      <c r="F47" s="15"/>
    </row>
    <row r="48" ht="15.75" customHeight="1">
      <c r="E48" s="15"/>
      <c r="F48" s="15"/>
    </row>
    <row r="49" ht="15.75" customHeight="1">
      <c r="E49" s="15"/>
      <c r="F49" s="15"/>
    </row>
    <row r="50" ht="15.75" customHeight="1">
      <c r="E50" s="15"/>
      <c r="F50" s="15"/>
    </row>
    <row r="51" ht="15.75" customHeight="1">
      <c r="E51" s="15"/>
      <c r="F51" s="15"/>
    </row>
    <row r="52" ht="15.75" customHeight="1">
      <c r="E52" s="15"/>
      <c r="F52" s="15"/>
    </row>
    <row r="53" ht="15.75" customHeight="1">
      <c r="E53" s="15"/>
      <c r="F53" s="15"/>
    </row>
    <row r="54" ht="15.75" customHeight="1">
      <c r="E54" s="15"/>
      <c r="F54" s="15"/>
    </row>
    <row r="55" ht="15.75" customHeight="1">
      <c r="E55" s="15"/>
      <c r="F55" s="15"/>
    </row>
    <row r="56" ht="15.75" customHeight="1">
      <c r="E56" s="15"/>
      <c r="F56" s="15"/>
    </row>
    <row r="57" ht="15.75" customHeight="1">
      <c r="E57" s="15"/>
      <c r="F57" s="15"/>
    </row>
    <row r="58" ht="15.75" customHeight="1">
      <c r="E58" s="15"/>
      <c r="F58" s="15"/>
    </row>
    <row r="59" ht="15.75" customHeight="1">
      <c r="E59" s="15"/>
      <c r="F59" s="15"/>
    </row>
    <row r="60" ht="15.75" customHeight="1">
      <c r="E60" s="15"/>
      <c r="F60" s="15"/>
    </row>
    <row r="61" ht="15.75" customHeight="1">
      <c r="E61" s="15"/>
      <c r="F61" s="15"/>
    </row>
    <row r="62" ht="15.75" customHeight="1">
      <c r="E62" s="15"/>
      <c r="F62" s="15"/>
    </row>
    <row r="63" ht="15.75" customHeight="1">
      <c r="E63" s="15"/>
      <c r="F63" s="15"/>
    </row>
    <row r="64" ht="15.75" customHeight="1">
      <c r="E64" s="15"/>
      <c r="F64" s="15"/>
    </row>
    <row r="65" ht="15.75" customHeight="1">
      <c r="E65" s="15"/>
      <c r="F65" s="15"/>
    </row>
    <row r="66" ht="15.75" customHeight="1">
      <c r="E66" s="15"/>
      <c r="F66" s="15"/>
    </row>
    <row r="67" ht="15.75" customHeight="1">
      <c r="E67" s="15"/>
      <c r="F67" s="15"/>
    </row>
    <row r="68" ht="15.75" customHeight="1">
      <c r="E68" s="15"/>
      <c r="F68" s="15"/>
    </row>
    <row r="69" ht="15.75" customHeight="1">
      <c r="E69" s="15"/>
      <c r="F69" s="15"/>
    </row>
    <row r="70" ht="15.75" customHeight="1">
      <c r="E70" s="15"/>
      <c r="F70" s="15"/>
    </row>
    <row r="71" ht="15.75" customHeight="1">
      <c r="E71" s="15"/>
      <c r="F71" s="15"/>
    </row>
    <row r="72" ht="15.75" customHeight="1">
      <c r="E72" s="15"/>
      <c r="F72" s="15"/>
    </row>
    <row r="73" ht="15.75" customHeight="1">
      <c r="E73" s="15"/>
      <c r="F73" s="15"/>
    </row>
    <row r="74" ht="15.75" customHeight="1">
      <c r="E74" s="15"/>
      <c r="F74" s="15"/>
    </row>
    <row r="75" ht="15.75" customHeight="1">
      <c r="E75" s="15"/>
      <c r="F75" s="15"/>
    </row>
    <row r="76" ht="15.75" customHeight="1">
      <c r="E76" s="15"/>
      <c r="F76" s="15"/>
    </row>
    <row r="77" ht="15.75" customHeight="1">
      <c r="E77" s="15"/>
      <c r="F77" s="15"/>
    </row>
    <row r="78" ht="15.75" customHeight="1">
      <c r="E78" s="15"/>
      <c r="F78" s="15"/>
    </row>
    <row r="79" ht="15.75" customHeight="1">
      <c r="E79" s="15"/>
      <c r="F79" s="15"/>
    </row>
    <row r="80" ht="15.75" customHeight="1">
      <c r="E80" s="15"/>
      <c r="F80" s="15"/>
    </row>
    <row r="81" ht="15.75" customHeight="1">
      <c r="E81" s="15"/>
      <c r="F81" s="15"/>
    </row>
    <row r="82" ht="15.75" customHeight="1">
      <c r="E82" s="15"/>
      <c r="F82" s="15"/>
    </row>
    <row r="83" ht="15.75" customHeight="1">
      <c r="E83" s="15"/>
      <c r="F83" s="15"/>
    </row>
    <row r="84" ht="15.75" customHeight="1">
      <c r="E84" s="15"/>
      <c r="F84" s="15"/>
    </row>
    <row r="85" ht="15.75" customHeight="1">
      <c r="E85" s="15"/>
      <c r="F85" s="15"/>
    </row>
    <row r="86" ht="15.75" customHeight="1">
      <c r="E86" s="15"/>
      <c r="F86" s="15"/>
    </row>
    <row r="87" ht="15.75" customHeight="1">
      <c r="E87" s="15"/>
      <c r="F87" s="15"/>
    </row>
    <row r="88" ht="15.75" customHeight="1">
      <c r="E88" s="15"/>
      <c r="F88" s="15"/>
    </row>
    <row r="89" ht="15.75" customHeight="1">
      <c r="E89" s="15"/>
      <c r="F89" s="15"/>
    </row>
    <row r="90" ht="15.75" customHeight="1">
      <c r="E90" s="15"/>
      <c r="F90" s="15"/>
    </row>
    <row r="91" ht="15.75" customHeight="1">
      <c r="E91" s="15"/>
      <c r="F91" s="15"/>
    </row>
    <row r="92" ht="15.75" customHeight="1">
      <c r="E92" s="15"/>
      <c r="F92" s="15"/>
    </row>
    <row r="93" ht="15.75" customHeight="1">
      <c r="E93" s="15"/>
      <c r="F93" s="15"/>
    </row>
    <row r="94" ht="15.75" customHeight="1">
      <c r="E94" s="15"/>
      <c r="F94" s="15"/>
    </row>
    <row r="95" ht="15.75" customHeight="1">
      <c r="E95" s="15"/>
      <c r="F95" s="15"/>
    </row>
    <row r="96" ht="15.75" customHeight="1">
      <c r="E96" s="15"/>
      <c r="F96" s="15"/>
    </row>
    <row r="97" ht="15.75" customHeight="1">
      <c r="E97" s="15"/>
      <c r="F97" s="15"/>
    </row>
    <row r="98" ht="15.75" customHeight="1">
      <c r="E98" s="15"/>
      <c r="F98" s="15"/>
    </row>
    <row r="99" ht="15.75" customHeight="1">
      <c r="E99" s="15"/>
      <c r="F99" s="15"/>
    </row>
    <row r="100" ht="15.75" customHeight="1">
      <c r="E100" s="15"/>
      <c r="F100" s="1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F5:F1000">
    <cfRule type="cellIs" dxfId="2" priority="1" operator="equal">
      <formula>"Yes"</formula>
    </cfRule>
  </conditionalFormatting>
  <dataValidations>
    <dataValidation type="list" allowBlank="1" sqref="E5:E100">
      <formula1>"High,Medium,Low"</formula1>
    </dataValidation>
    <dataValidation type="list" allowBlank="1" sqref="F5:F1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3" width="19.25"/>
    <col customWidth="1" min="4" max="4" width="43.75"/>
    <col customWidth="1" min="5" max="6" width="19.25"/>
    <col customWidth="1" min="7" max="26" width="7.63"/>
  </cols>
  <sheetData>
    <row r="1">
      <c r="A1" s="1" t="s">
        <v>387</v>
      </c>
    </row>
    <row r="3">
      <c r="A3" s="27" t="s">
        <v>388</v>
      </c>
      <c r="B3" s="27" t="s">
        <v>97</v>
      </c>
      <c r="C3" s="27" t="s">
        <v>389</v>
      </c>
      <c r="D3" s="27" t="s">
        <v>390</v>
      </c>
      <c r="E3" s="27" t="s">
        <v>391</v>
      </c>
      <c r="F3" s="27" t="s">
        <v>30</v>
      </c>
    </row>
    <row r="4">
      <c r="A4" s="12" t="s">
        <v>392</v>
      </c>
      <c r="B4" s="12" t="s">
        <v>393</v>
      </c>
      <c r="C4" s="12" t="s">
        <v>394</v>
      </c>
      <c r="D4" s="12" t="s">
        <v>395</v>
      </c>
      <c r="E4" s="12" t="s">
        <v>396</v>
      </c>
      <c r="F4" s="12" t="s">
        <v>397</v>
      </c>
    </row>
    <row r="5">
      <c r="A5" s="12" t="s">
        <v>398</v>
      </c>
      <c r="B5" s="12" t="s">
        <v>399</v>
      </c>
      <c r="C5" s="12" t="s">
        <v>400</v>
      </c>
      <c r="D5" s="12" t="s">
        <v>401</v>
      </c>
      <c r="E5" s="12" t="s">
        <v>402</v>
      </c>
      <c r="F5" s="12" t="s">
        <v>397</v>
      </c>
    </row>
    <row r="6">
      <c r="A6" s="12" t="s">
        <v>403</v>
      </c>
      <c r="B6" s="12" t="s">
        <v>399</v>
      </c>
      <c r="C6" s="12" t="s">
        <v>400</v>
      </c>
      <c r="D6" s="12" t="s">
        <v>404</v>
      </c>
      <c r="E6" s="12" t="s">
        <v>405</v>
      </c>
      <c r="F6" s="12" t="s">
        <v>397</v>
      </c>
    </row>
    <row r="7">
      <c r="A7" s="12" t="s">
        <v>406</v>
      </c>
      <c r="B7" s="12" t="s">
        <v>407</v>
      </c>
      <c r="C7" s="12" t="s">
        <v>408</v>
      </c>
      <c r="D7" s="12" t="s">
        <v>409</v>
      </c>
      <c r="E7" s="12" t="s">
        <v>402</v>
      </c>
      <c r="F7" s="12" t="s">
        <v>397</v>
      </c>
    </row>
    <row r="8">
      <c r="F8" s="15"/>
    </row>
    <row r="9">
      <c r="F9" s="15"/>
    </row>
    <row r="10">
      <c r="F10" s="15"/>
    </row>
    <row r="11">
      <c r="F11" s="15"/>
    </row>
    <row r="12">
      <c r="F12" s="15"/>
    </row>
    <row r="13">
      <c r="F13" s="15"/>
    </row>
    <row r="14">
      <c r="F14" s="15"/>
    </row>
    <row r="15">
      <c r="F15" s="15"/>
    </row>
    <row r="16">
      <c r="F16" s="15"/>
    </row>
    <row r="17">
      <c r="F17" s="15"/>
    </row>
    <row r="18">
      <c r="F18" s="15"/>
    </row>
    <row r="19">
      <c r="F19" s="15"/>
    </row>
    <row r="20">
      <c r="F20" s="15"/>
    </row>
    <row r="21" ht="15.75" customHeight="1">
      <c r="F21" s="15"/>
    </row>
    <row r="22" ht="15.75" customHeight="1">
      <c r="F22" s="15"/>
    </row>
    <row r="23" ht="15.75" customHeight="1">
      <c r="F23" s="15"/>
    </row>
    <row r="24" ht="15.75" customHeight="1">
      <c r="F24" s="15"/>
    </row>
    <row r="25" ht="15.75" customHeight="1">
      <c r="F25" s="15"/>
    </row>
    <row r="26" ht="15.75" customHeight="1">
      <c r="F26" s="15"/>
    </row>
    <row r="27" ht="15.75" customHeight="1">
      <c r="F27" s="15"/>
    </row>
    <row r="28" ht="15.75" customHeight="1">
      <c r="F28" s="15"/>
    </row>
    <row r="29" ht="15.75" customHeight="1">
      <c r="F29" s="15"/>
    </row>
    <row r="30" ht="15.75" customHeight="1">
      <c r="F30" s="15"/>
    </row>
    <row r="31" ht="15.75" customHeight="1">
      <c r="F31" s="15"/>
    </row>
    <row r="32" ht="15.75" customHeight="1">
      <c r="F32" s="15"/>
    </row>
    <row r="33" ht="15.75" customHeight="1">
      <c r="F33" s="15"/>
    </row>
    <row r="34" ht="15.75" customHeight="1">
      <c r="F34" s="15"/>
    </row>
    <row r="35" ht="15.75" customHeight="1">
      <c r="F35" s="15"/>
    </row>
    <row r="36" ht="15.75" customHeight="1">
      <c r="F36" s="15"/>
    </row>
    <row r="37" ht="15.75" customHeight="1">
      <c r="F37" s="15"/>
    </row>
    <row r="38" ht="15.75" customHeight="1">
      <c r="F38" s="15"/>
    </row>
    <row r="39" ht="15.75" customHeight="1">
      <c r="F39" s="15"/>
    </row>
    <row r="40" ht="15.75" customHeight="1">
      <c r="F40" s="15"/>
    </row>
    <row r="41" ht="15.75" customHeight="1">
      <c r="F41" s="15"/>
    </row>
    <row r="42" ht="15.75" customHeight="1">
      <c r="F42" s="15"/>
    </row>
    <row r="43" ht="15.75" customHeight="1">
      <c r="F43" s="15"/>
    </row>
    <row r="44" ht="15.75" customHeight="1">
      <c r="F44" s="15"/>
    </row>
    <row r="45" ht="15.75" customHeight="1">
      <c r="F45" s="15"/>
    </row>
    <row r="46" ht="15.75" customHeight="1">
      <c r="F46" s="15"/>
    </row>
    <row r="47" ht="15.75" customHeight="1">
      <c r="F47" s="15"/>
    </row>
    <row r="48" ht="15.75" customHeight="1">
      <c r="F48" s="15"/>
    </row>
    <row r="49" ht="15.75" customHeight="1">
      <c r="F49" s="15"/>
    </row>
    <row r="50" ht="15.75" customHeight="1">
      <c r="F50" s="15"/>
    </row>
    <row r="51" ht="15.75" customHeight="1">
      <c r="F51" s="15"/>
    </row>
    <row r="52" ht="15.75" customHeight="1">
      <c r="F52" s="15"/>
    </row>
    <row r="53" ht="15.75" customHeight="1">
      <c r="F53" s="15"/>
    </row>
    <row r="54" ht="15.75" customHeight="1">
      <c r="F54" s="15"/>
    </row>
    <row r="55" ht="15.75" customHeight="1">
      <c r="F55" s="15"/>
    </row>
    <row r="56" ht="15.75" customHeight="1">
      <c r="F56" s="15"/>
    </row>
    <row r="57" ht="15.75" customHeight="1">
      <c r="F57" s="15"/>
    </row>
    <row r="58" ht="15.75" customHeight="1">
      <c r="F58" s="15"/>
    </row>
    <row r="59" ht="15.75" customHeight="1">
      <c r="F59" s="15"/>
    </row>
    <row r="60" ht="15.75" customHeight="1">
      <c r="F60" s="15"/>
    </row>
    <row r="61" ht="15.75" customHeight="1">
      <c r="F61" s="15"/>
    </row>
    <row r="62" ht="15.75" customHeight="1">
      <c r="F62" s="15"/>
    </row>
    <row r="63" ht="15.75" customHeight="1">
      <c r="F63" s="15"/>
    </row>
    <row r="64" ht="15.75" customHeight="1">
      <c r="F64" s="15"/>
    </row>
    <row r="65" ht="15.75" customHeight="1">
      <c r="F65" s="15"/>
    </row>
    <row r="66" ht="15.75" customHeight="1">
      <c r="F66" s="15"/>
    </row>
    <row r="67" ht="15.75" customHeight="1">
      <c r="F67" s="15"/>
    </row>
    <row r="68" ht="15.75" customHeight="1">
      <c r="F68" s="15"/>
    </row>
    <row r="69" ht="15.75" customHeight="1">
      <c r="F69" s="15"/>
    </row>
    <row r="70" ht="15.75" customHeight="1">
      <c r="F70" s="15"/>
    </row>
    <row r="71" ht="15.75" customHeight="1">
      <c r="F71" s="15"/>
    </row>
    <row r="72" ht="15.75" customHeight="1">
      <c r="F72" s="15"/>
    </row>
    <row r="73" ht="15.75" customHeight="1">
      <c r="F73" s="15"/>
    </row>
    <row r="74" ht="15.75" customHeight="1">
      <c r="F74" s="15"/>
    </row>
    <row r="75" ht="15.75" customHeight="1">
      <c r="F75" s="15"/>
    </row>
    <row r="76" ht="15.75" customHeight="1">
      <c r="F76" s="15"/>
    </row>
    <row r="77" ht="15.75" customHeight="1">
      <c r="F77" s="15"/>
    </row>
    <row r="78" ht="15.75" customHeight="1">
      <c r="F78" s="15"/>
    </row>
    <row r="79" ht="15.75" customHeight="1">
      <c r="F79" s="15"/>
    </row>
    <row r="80" ht="15.75" customHeight="1">
      <c r="F80" s="15"/>
    </row>
    <row r="81" ht="15.75" customHeight="1">
      <c r="F81" s="15"/>
    </row>
    <row r="82" ht="15.75" customHeight="1">
      <c r="F82" s="15"/>
    </row>
    <row r="83" ht="15.75" customHeight="1">
      <c r="F83" s="15"/>
    </row>
    <row r="84" ht="15.75" customHeight="1">
      <c r="F84" s="15"/>
    </row>
    <row r="85" ht="15.75" customHeight="1">
      <c r="F85" s="15"/>
    </row>
    <row r="86" ht="15.75" customHeight="1">
      <c r="F86" s="15"/>
    </row>
    <row r="87" ht="15.75" customHeight="1">
      <c r="F87" s="15"/>
    </row>
    <row r="88" ht="15.75" customHeight="1">
      <c r="F88" s="15"/>
    </row>
    <row r="89" ht="15.75" customHeight="1">
      <c r="F89" s="15"/>
    </row>
    <row r="90" ht="15.75" customHeight="1">
      <c r="F90" s="15"/>
    </row>
    <row r="91" ht="15.75" customHeight="1">
      <c r="F91" s="15"/>
    </row>
    <row r="92" ht="15.75" customHeight="1">
      <c r="F92" s="15"/>
    </row>
    <row r="93" ht="15.75" customHeight="1">
      <c r="F93" s="15"/>
    </row>
    <row r="94" ht="15.75" customHeight="1">
      <c r="F94" s="15"/>
    </row>
    <row r="95" ht="15.75" customHeight="1">
      <c r="F95" s="15"/>
    </row>
    <row r="96" ht="15.75" customHeight="1">
      <c r="F96" s="15"/>
    </row>
    <row r="97" ht="15.75" customHeight="1">
      <c r="F97" s="15"/>
    </row>
    <row r="98" ht="15.75" customHeight="1">
      <c r="F98" s="15"/>
    </row>
    <row r="99" ht="15.75" customHeight="1">
      <c r="F99" s="15"/>
    </row>
    <row r="100" ht="15.75" customHeight="1">
      <c r="F100" s="1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>
    <dataValidation type="list" allowBlank="1" sqref="F4:F100">
      <formula1>"Draft,Released,Superseded"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2026-04-11T05:22:15Z</dcterms:created>
  <dc:creator>openpyxl</dc:creator>
</cp:coreProperties>
</file>